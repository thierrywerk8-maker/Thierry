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overzicht" sheetId="1" state="visible" r:id="rId3"/>
    <sheet name="Planning 2 teams" sheetId="2" state="visible" r:id="rId4"/>
    <sheet name="Overzicht" sheetId="3" state="visible" r:id="rId5"/>
    <sheet name="Dag 1" sheetId="4" state="visible" r:id="rId6"/>
    <sheet name="Dag 2" sheetId="5" state="visible" r:id="rId7"/>
    <sheet name="Dag 3" sheetId="6" state="visible" r:id="rId8"/>
    <sheet name="Adressen controleren" sheetId="7" state="visible" r:id="rId9"/>
    <sheet name="Sheet1" sheetId="8" state="visible" r:id="rId10"/>
  </sheets>
  <definedNames>
    <definedName function="false" hidden="true" localSheetId="3" name="_xlnm._FilterDatabase" vbProcedure="false">'Dag 1'!$A$2:$K$25</definedName>
    <definedName function="false" hidden="true" localSheetId="4" name="_xlnm._FilterDatabase" vbProcedure="false">'Dag 2'!$A$2:$K$27</definedName>
    <definedName function="false" hidden="true" localSheetId="5" name="_xlnm._FilterDatabase" vbProcedure="false">'Dag 3'!$A$2:$K$26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<sst xmlns="http://schemas.openxmlformats.org/spreadsheetml/2006/main" count="1185" uniqueCount="246">
  <si>
    <t xml:space="preserve">ADE Door-to-Door | Leadoverzicht P-Logic</t>
  </si>
  <si>
    <t xml:space="preserve">Team en Dag komen automatisch uit het tabblad 'Planning 2 teams'. Poppodium Volt is weggelaten (dubbel met Volt).</t>
  </si>
  <si>
    <t xml:space="preserve">#</t>
  </si>
  <si>
    <t xml:space="preserve">Lead</t>
  </si>
  <si>
    <t xml:space="preserve">Leadowner</t>
  </si>
  <si>
    <t xml:space="preserve">Team</t>
  </si>
  <si>
    <t xml:space="preserve">Dag</t>
  </si>
  <si>
    <t xml:space="preserve">Legenda</t>
  </si>
  <si>
    <t xml:space="preserve">Leads</t>
  </si>
  <si>
    <t xml:space="preserve">Paradigm</t>
  </si>
  <si>
    <t xml:space="preserve">Yasmijn</t>
  </si>
  <si>
    <t xml:space="preserve">Kaleidoscope</t>
  </si>
  <si>
    <t xml:space="preserve">Friso</t>
  </si>
  <si>
    <t xml:space="preserve">ONA Groep</t>
  </si>
  <si>
    <t xml:space="preserve">Thierry</t>
  </si>
  <si>
    <t xml:space="preserve">Reggae Lake</t>
  </si>
  <si>
    <t xml:space="preserve">Odin</t>
  </si>
  <si>
    <t xml:space="preserve">Listen to Flow</t>
  </si>
  <si>
    <t xml:space="preserve">Totaal</t>
  </si>
  <si>
    <t xml:space="preserve">Classified Events [Urgent]</t>
  </si>
  <si>
    <t xml:space="preserve">Studio Linksvoor</t>
  </si>
  <si>
    <t xml:space="preserve">Muze Misse</t>
  </si>
  <si>
    <t xml:space="preserve">Par-t</t>
  </si>
  <si>
    <t xml:space="preserve">Minority Events</t>
  </si>
  <si>
    <t xml:space="preserve">Volt</t>
  </si>
  <si>
    <t xml:space="preserve">Elevation Events</t>
  </si>
  <si>
    <t xml:space="preserve">Jaarbeurs</t>
  </si>
  <si>
    <t xml:space="preserve">Intercell/ AFP</t>
  </si>
  <si>
    <t xml:space="preserve">Sunsplash</t>
  </si>
  <si>
    <t xml:space="preserve">White House Scheveningen</t>
  </si>
  <si>
    <t xml:space="preserve">Paard</t>
  </si>
  <si>
    <t xml:space="preserve">Cinema Culinair</t>
  </si>
  <si>
    <t xml:space="preserve">Give Soul</t>
  </si>
  <si>
    <t xml:space="preserve">CUBE</t>
  </si>
  <si>
    <t xml:space="preserve">Ahoy Rotterdam</t>
  </si>
  <si>
    <t xml:space="preserve">The Zoo</t>
  </si>
  <si>
    <t xml:space="preserve">Vivre Productions</t>
  </si>
  <si>
    <t xml:space="preserve">Studio Wieman</t>
  </si>
  <si>
    <t xml:space="preserve">ingang / no clubs</t>
  </si>
  <si>
    <t xml:space="preserve">Melkweg</t>
  </si>
  <si>
    <t xml:space="preserve">A Venue</t>
  </si>
  <si>
    <t xml:space="preserve">Tropikali</t>
  </si>
  <si>
    <t xml:space="preserve">Audio Obscura</t>
  </si>
  <si>
    <t xml:space="preserve">Loveland</t>
  </si>
  <si>
    <t xml:space="preserve">3X3 Basketbal</t>
  </si>
  <si>
    <t xml:space="preserve">Verknipt</t>
  </si>
  <si>
    <t xml:space="preserve">8Ball</t>
  </si>
  <si>
    <t xml:space="preserve">Chasing the Hihat</t>
  </si>
  <si>
    <t xml:space="preserve">Gashouder</t>
  </si>
  <si>
    <t xml:space="preserve">Thuishaven</t>
  </si>
  <si>
    <t xml:space="preserve">IsBurning</t>
  </si>
  <si>
    <t xml:space="preserve">Dfrnt Festival (Tapt)</t>
  </si>
  <si>
    <t xml:space="preserve">Lofi</t>
  </si>
  <si>
    <t xml:space="preserve">VBX</t>
  </si>
  <si>
    <t xml:space="preserve">Making Waves</t>
  </si>
  <si>
    <t xml:space="preserve">Vault Sessions</t>
  </si>
  <si>
    <t xml:space="preserve">Woodstock</t>
  </si>
  <si>
    <t xml:space="preserve">ADE Door-to-Door | 2 teams x 3 dagen | herverdeling zonder Emiel + Bas</t>
  </si>
  <si>
    <t xml:space="preserve">Start / eind</t>
  </si>
  <si>
    <t xml:space="preserve">Amsterdam Centraal</t>
  </si>
  <si>
    <t xml:space="preserve">Start 09:30</t>
  </si>
  <si>
    <t xml:space="preserve">Uiterlijk circa 17:30</t>
  </si>
  <si>
    <t xml:space="preserve">Bezoekduur</t>
  </si>
  <si>
    <t xml:space="preserve">20 minuten</t>
  </si>
  <si>
    <t xml:space="preserve">Lunch</t>
  </si>
  <si>
    <t xml:space="preserve">30 minuten, ingepland</t>
  </si>
  <si>
    <t xml:space="preserve">Routeplanning</t>
  </si>
  <si>
    <t xml:space="preserve">Indicatief: rijtijden handmatig geschat; geen live Maps-tijden</t>
  </si>
  <si>
    <t xml:space="preserve">Let op</t>
  </si>
  <si>
    <t xml:space="preserve">Emiel + Bas doen alleen hun eigen leads (zie Sheet1) en staan niet in deze planning. Hun overgenomen leads van andere leadowners zijn verdeeld over de twee teams hieronder.</t>
  </si>
  <si>
    <t xml:space="preserve">Nieuw toegevoegd (was Emiel + Bas)</t>
  </si>
  <si>
    <t xml:space="preserve">Overgenomen van andere leadowner</t>
  </si>
  <si>
    <t xml:space="preserve">Na 17:30 terug: oplossing nodig</t>
  </si>
  <si>
    <t xml:space="preserve">Eigen leads</t>
  </si>
  <si>
    <t xml:space="preserve">Nieuw toegevoegd</t>
  </si>
  <si>
    <t xml:space="preserve">Rijtijd (min)</t>
  </si>
  <si>
    <t xml:space="preserve">Bezoektijd (min)</t>
  </si>
  <si>
    <t xml:space="preserve">Lunch (min)</t>
  </si>
  <si>
    <t xml:space="preserve">Terug ca.</t>
  </si>
  <si>
    <t xml:space="preserve">Binnen 17:30?</t>
  </si>
  <si>
    <t xml:space="preserve">Yasmijn + Steven</t>
  </si>
  <si>
    <t xml:space="preserve">Friso + Thierry</t>
  </si>
  <si>
    <t xml:space="preserve">DAG 1  |  VERTREK 09:30  |  20 MINUTEN PER LEAD + 30 MIN LUNCH</t>
  </si>
  <si>
    <t xml:space="preserve">Stop</t>
  </si>
  <si>
    <t xml:space="preserve">Adres</t>
  </si>
  <si>
    <t xml:space="preserve">Plaats</t>
  </si>
  <si>
    <t xml:space="preserve">Rijtijd vanaf vorig (min)</t>
  </si>
  <si>
    <t xml:space="preserve">Aankomst</t>
  </si>
  <si>
    <t xml:space="preserve">Vertrek</t>
  </si>
  <si>
    <t xml:space="preserve">Opmerking</t>
  </si>
  <si>
    <t xml:space="preserve">Google Maps</t>
  </si>
  <si>
    <t xml:space="preserve">START</t>
  </si>
  <si>
    <t xml:space="preserve">Stationsplein, Amsterdam</t>
  </si>
  <si>
    <t xml:space="preserve">Amsterdam</t>
  </si>
  <si>
    <t xml:space="preserve">Per auto; rijtijden indicatief</t>
  </si>
  <si>
    <t xml:space="preserve">Energieweg 10 | 9743 AN</t>
  </si>
  <si>
    <t xml:space="preserve">Groningen</t>
  </si>
  <si>
    <t xml:space="preserve">Eigen lead</t>
  </si>
  <si>
    <t xml:space="preserve">Open adres</t>
  </si>
  <si>
    <t xml:space="preserve">Helsinkistraat 6 | 9723 BD</t>
  </si>
  <si>
    <t xml:space="preserve">Nijverheidsweg 16 | 3762 ER</t>
  </si>
  <si>
    <t xml:space="preserve">Soest</t>
  </si>
  <si>
    <t xml:space="preserve">Zeeburgerdijk 19B | 1093SK</t>
  </si>
  <si>
    <t xml:space="preserve">Overgenomen van Friso (was Emiel + Bas, dag 1)</t>
  </si>
  <si>
    <t xml:space="preserve">TERUG</t>
  </si>
  <si>
    <t xml:space="preserve">Stationsplein</t>
  </si>
  <si>
    <t xml:space="preserve">Strandweg 180 | 2586 JM</t>
  </si>
  <si>
    <t xml:space="preserve">Den Haag</t>
  </si>
  <si>
    <t xml:space="preserve">Prinsegracht 12 | 2512 GA</t>
  </si>
  <si>
    <t xml:space="preserve">Overgenomen van Yasmijn</t>
  </si>
  <si>
    <t xml:space="preserve">Keilestraat 9F | 3029 BP</t>
  </si>
  <si>
    <t xml:space="preserve">Rotterdam</t>
  </si>
  <si>
    <t xml:space="preserve">Overgenomen van Yasmijn (was Emiel + Bas, dag 2)</t>
  </si>
  <si>
    <t xml:space="preserve">Eendrachtsweg 42 | 3012 LD</t>
  </si>
  <si>
    <t xml:space="preserve">Slepersvest 1 | 3011 ML</t>
  </si>
  <si>
    <t xml:space="preserve">Eigen lead (was Emiel + Bas, dag 2)</t>
  </si>
  <si>
    <t xml:space="preserve">Ahoyweg 10 | 3084 BD</t>
  </si>
  <si>
    <t xml:space="preserve">Boonsweg 10 | 274 LH</t>
  </si>
  <si>
    <t xml:space="preserve">Heinenoord</t>
  </si>
  <si>
    <t xml:space="preserve">Hoofdweg-Noord 9K | 2913 LB</t>
  </si>
  <si>
    <t xml:space="preserve">Nieuwekerk ad IJssel</t>
  </si>
  <si>
    <t xml:space="preserve">DAG 2  |  VERTREK 09:30  |  20 MINUTEN PER LEAD + 30 MIN LUNCH</t>
  </si>
  <si>
    <t xml:space="preserve">Roodwilligen 63 | 6903 TB</t>
  </si>
  <si>
    <t xml:space="preserve">Zevenaar</t>
  </si>
  <si>
    <t xml:space="preserve">Overgenomen van Thierry (was Emiel + Bas, dag 3)</t>
  </si>
  <si>
    <t xml:space="preserve">Oude Molenweg 112 | 6533WN</t>
  </si>
  <si>
    <t xml:space="preserve">Nijmegen</t>
  </si>
  <si>
    <t xml:space="preserve">Overgenomen van Thierry</t>
  </si>
  <si>
    <t xml:space="preserve">De Kolk 13 | 6541 AV</t>
  </si>
  <si>
    <t xml:space="preserve">Sint Sebastiaanstraat 57 | 5341 LG</t>
  </si>
  <si>
    <t xml:space="preserve">Oss</t>
  </si>
  <si>
    <t xml:space="preserve">Bussele 17 | 5469 DT</t>
  </si>
  <si>
    <t xml:space="preserve">Erp/Veghel</t>
  </si>
  <si>
    <t xml:space="preserve">Dragonder 49J | 5555 XZ</t>
  </si>
  <si>
    <t xml:space="preserve">Valkenswaard</t>
  </si>
  <si>
    <t xml:space="preserve">Papaverweg 14 | 1032 KH</t>
  </si>
  <si>
    <t xml:space="preserve">Eigen lead (was Emiel + Bas, dag 1)</t>
  </si>
  <si>
    <t xml:space="preserve">Gedempt Hamerkanaal 86 | 1021 KR</t>
  </si>
  <si>
    <t xml:space="preserve">Lijnbaansgracht 234A | 1017 PH</t>
  </si>
  <si>
    <t xml:space="preserve">Overgenomen van Odin (was Emiel + Bas, dag 3)</t>
  </si>
  <si>
    <t xml:space="preserve">Keizersgracht 618 | 1017 ER</t>
  </si>
  <si>
    <t xml:space="preserve">Prinsengracht 754-3 | 1017 LD</t>
  </si>
  <si>
    <t xml:space="preserve">Prinsengracht 769 | 1017 JZ</t>
  </si>
  <si>
    <t xml:space="preserve">Helicopterstraat 25L | 1059 CE</t>
  </si>
  <si>
    <t xml:space="preserve">Keienbergweg 93 | 1101 GE</t>
  </si>
  <si>
    <t xml:space="preserve">Gein Zuid 9 | 1391 GT</t>
  </si>
  <si>
    <t xml:space="preserve">Abcoude</t>
  </si>
  <si>
    <t xml:space="preserve">’s Gravelandseweg 80 | 1217EW</t>
  </si>
  <si>
    <t xml:space="preserve">Hilversum</t>
  </si>
  <si>
    <t xml:space="preserve">DAG 3  |  VERTREK 09:30  |  20 MINUTEN PER LEAD + 30 MIN LUNCH</t>
  </si>
  <si>
    <t xml:space="preserve">Odasingel 88 | 6131 GZ</t>
  </si>
  <si>
    <t xml:space="preserve">Sittard</t>
  </si>
  <si>
    <t xml:space="preserve">Leidseweg 125 | 3533 HC</t>
  </si>
  <si>
    <t xml:space="preserve">Utrecht</t>
  </si>
  <si>
    <t xml:space="preserve">Jaarbeursplein 6 | 3521 AL</t>
  </si>
  <si>
    <t xml:space="preserve">Rokin 54 | 1012KV</t>
  </si>
  <si>
    <t xml:space="preserve">Tondenpad 9 | 1107PL</t>
  </si>
  <si>
    <t xml:space="preserve">Danzigerbocht 21 | 1013 AM</t>
  </si>
  <si>
    <t xml:space="preserve">Polonceaukade 9 | 1014 DA</t>
  </si>
  <si>
    <t xml:space="preserve">Contactweg 68 | 1014 BW</t>
  </si>
  <si>
    <t xml:space="preserve">Elementenstraat 25 | 1014 AS</t>
  </si>
  <si>
    <t xml:space="preserve">Dukdalfweg 38 | 1041 BE</t>
  </si>
  <si>
    <t xml:space="preserve">Basisweg 63 | 1043 AN</t>
  </si>
  <si>
    <t xml:space="preserve">Overgenomen van Yasmijn (was Emiel + Bas, dag 3)</t>
  </si>
  <si>
    <t xml:space="preserve">Krelis Louwenstraat 1 | 1055 KA</t>
  </si>
  <si>
    <t xml:space="preserve">Doctor Jan van Breemenstraat 1 | 1056 Ab</t>
  </si>
  <si>
    <t xml:space="preserve">Weerenweg 13 unit A | 1161 AE</t>
  </si>
  <si>
    <t xml:space="preserve">Zwanenburg</t>
  </si>
  <si>
    <t xml:space="preserve">Eigen lead (was Emiel + Bas, dag 3)</t>
  </si>
  <si>
    <t xml:space="preserve">Zeeweg 94, tent 7 (BL10) | 2051 EC</t>
  </si>
  <si>
    <t xml:space="preserve">Bloemendaal aan Zee</t>
  </si>
  <si>
    <t xml:space="preserve">HERVERDELING | leads die eerst bij Emiel + Bas stonden (andere leadowner)</t>
  </si>
  <si>
    <t xml:space="preserve">Nieuw team</t>
  </si>
  <si>
    <t xml:space="preserve">Nieuwe dag</t>
  </si>
  <si>
    <t xml:space="preserve">Oorspronkelijk</t>
  </si>
  <si>
    <t xml:space="preserve">Stop (nieuw)</t>
  </si>
  <si>
    <t xml:space="preserve">Waarom hier</t>
  </si>
  <si>
    <t xml:space="preserve">Emiel + Bas, dag 1</t>
  </si>
  <si>
    <t xml:space="preserve">Op de terugweg vanuit Soest (A1), vlak bij de A10</t>
  </si>
  <si>
    <t xml:space="preserve">Emiel + Bas, dag 3</t>
  </si>
  <si>
    <t xml:space="preserve">Ligt ca. 30 min van Nijmegen, dus eerste stop van de Nijmegen / Brabant-route</t>
  </si>
  <si>
    <t xml:space="preserve">Emiel + Bas, dag 2</t>
  </si>
  <si>
    <t xml:space="preserve">Past in de Den Haag / Rotterdam-route van Friso + Thierry</t>
  </si>
  <si>
    <t xml:space="preserve">Net onder Rotterdam, tussen Ahoy en Nieuwerkerk</t>
  </si>
  <si>
    <t xml:space="preserve">Past in de Noord / grachtengordel-route van dag 2</t>
  </si>
  <si>
    <t xml:space="preserve">Past in de Westpoort / Sloterdijk / West-route van dag 3</t>
  </si>
  <si>
    <t xml:space="preserve">Op de weg naar Woodstock (Bloemendaal)</t>
  </si>
  <si>
    <t xml:space="preserve">AANDACHTSPUNTEN</t>
  </si>
  <si>
    <t xml:space="preserve">Friso + Thierry, dag 1</t>
  </si>
  <si>
    <t xml:space="preserve">Terug ca. 17:35, dus ca. 5 min na 17:30. Oplossing: om 09:15 vertrekken, of The Zoo (Heinenoord) apart inplannen (dan terug ca. 16:50). De heenrit van 93 min naar Scheveningen is al ruim geschat.</t>
  </si>
  <si>
    <t xml:space="preserve">Yasmijn + Steven, dag 2</t>
  </si>
  <si>
    <t xml:space="preserve">Terug ca. 17:56, dus ca. 26 min na 17:30, door Listen to Flow (Zevenaar). Oplossing: om 09:00 vertrekken (terug ca. 17:26), of Listen to Flow apart / later inplannen (dan terug ca. 16:58).</t>
  </si>
  <si>
    <t xml:space="preserve">Emiel + Bas</t>
  </si>
  <si>
    <t xml:space="preserve">Doen alleen hun eigen leads (Sheet1): Toekomst Muziek, Torpedotheater, Bijlmerbios, Theater 't Kapelletje, Bloemencorso en Supper Club. Die plannen ze zelf en staan niet in deze planning.</t>
  </si>
  <si>
    <t xml:space="preserve">Postcode staat als '274 LH'. Waarschijnlijk is dat 3274 LH (Heinenoord); graag controleren.</t>
  </si>
  <si>
    <t xml:space="preserve">Listen to Flow / Jaarbeurs</t>
  </si>
  <si>
    <t xml:space="preserve">Adres staat nu wel in de route. In het tabblad 'Adressen controleren' staan ze nog als ontbrekend; ingang en contactpersoon vooraf bevestigen.</t>
  </si>
  <si>
    <t xml:space="preserve">Yasmijn + Steven, dag 1</t>
  </si>
  <si>
    <t xml:space="preserve">Lunch staat volgens de afspraak (4 stops, dus op de terugreis) aan het eind van de dag. In de praktijk lunch in Groningen; de terugtijd verandert daar niet door.</t>
  </si>
  <si>
    <t xml:space="preserve">Rijtijden</t>
  </si>
  <si>
    <t xml:space="preserve">Bestaande trajecten hebben de rijtijden uit de oorspronkelijke planning gehouden. Nieuwe trajecten zijn handmatig geschat (geen live Maps); parkeren en spits kunnen afwijken.</t>
  </si>
  <si>
    <t xml:space="preserve">ADE Door-to-Door | 3 teams x 3 dagen</t>
  </si>
  <si>
    <t xml:space="preserve">Uitgesloten: onbruikbare of ontbrekende afleveradressen</t>
  </si>
  <si>
    <t xml:space="preserve">Toekomst Muziek B.V.</t>
  </si>
  <si>
    <t xml:space="preserve">Bas</t>
  </si>
  <si>
    <t xml:space="preserve">Danzigerbocht 29 | 1013 AM</t>
  </si>
  <si>
    <t xml:space="preserve">Overgenomen van Friso</t>
  </si>
  <si>
    <t xml:space="preserve">Torpedotheater</t>
  </si>
  <si>
    <t xml:space="preserve">St. Pieterspoortsteeg 33 | 1012 HM</t>
  </si>
  <si>
    <t xml:space="preserve">Bijlmerbios Openluchtbioscoop</t>
  </si>
  <si>
    <t xml:space="preserve">Emiel</t>
  </si>
  <si>
    <t xml:space="preserve">Kraaiennest 80 | 1104 CE</t>
  </si>
  <si>
    <t xml:space="preserve">Inclusief lunch van 30 min</t>
  </si>
  <si>
    <t xml:space="preserve">Theater 't Kapelletje</t>
  </si>
  <si>
    <t xml:space="preserve">Van der Sluysstraat 176 | 3033 SR</t>
  </si>
  <si>
    <t xml:space="preserve">Bloemencorso</t>
  </si>
  <si>
    <t xml:space="preserve">1e Havendwarsstraat 4 2161 HG </t>
  </si>
  <si>
    <t xml:space="preserve">Lisse</t>
  </si>
  <si>
    <t xml:space="preserve">Overgenomen van Odin</t>
  </si>
  <si>
    <t xml:space="preserve">Roodwilligen 63, 6903 TB</t>
  </si>
  <si>
    <t xml:space="preserve">overgenomen van Thierry</t>
  </si>
  <si>
    <t xml:space="preserve">Jaarbeursplein 6 3521 AL </t>
  </si>
  <si>
    <t xml:space="preserve">Huidige informatie</t>
  </si>
  <si>
    <t xml:space="preserve">Waarom niet ingepland</t>
  </si>
  <si>
    <t xml:space="preserve">Actie</t>
  </si>
  <si>
    <t xml:space="preserve">(vrienden van) Bloemencorso Bollenstreek</t>
  </si>
  <si>
    <t xml:space="preserve">Postbus 115, 2160 AC Lisse</t>
  </si>
  <si>
    <t xml:space="preserve">Postbus, geen afleverlocatie</t>
  </si>
  <si>
    <t xml:space="preserve">Vraag fysiek bezoekadres op; Emiel + Bas dag 3 indien haalbaar</t>
  </si>
  <si>
    <t xml:space="preserve">Geen adres ingevuld</t>
  </si>
  <si>
    <t xml:space="preserve">Specifieke afleverlocatie ontbreekt</t>
  </si>
  <si>
    <t xml:space="preserve">Adres/ingang bevestigen; eventueel Yasmijn + Steven dag 3 Utrecht</t>
  </si>
  <si>
    <t xml:space="preserve">Geen locatie bekend</t>
  </si>
  <si>
    <t xml:space="preserve">Adres opvragen en koppelen aan passende regionale route</t>
  </si>
  <si>
    <t xml:space="preserve">Poppodium Volt</t>
  </si>
  <si>
    <t xml:space="preserve">Staat er al in</t>
  </si>
  <si>
    <t xml:space="preserve">Dubbel van Volt, Odasingel 88, Sittard</t>
  </si>
  <si>
    <t xml:space="preserve">Slechts eenmaal ingepland: Yasmijn + Steven dag 3</t>
  </si>
  <si>
    <t xml:space="preserve">Belangrijke aannames</t>
  </si>
  <si>
    <t xml:space="preserve">Alle teams rijden dagelijks vanaf Amsterdam Centraal en keren daar terug.</t>
  </si>
  <si>
    <t xml:space="preserve">Elke lead: 20 minuten op locatie. Lunch: 30 minuten na de vierde stop (of op de terugreis bij routes met maximaal drie stops).</t>
  </si>
  <si>
    <t xml:space="preserve">Rijtijden zijn grove planningsschattingen en niet uit een live routeplanner; parkeren, binnenstad en verkeersdrukte kunnen afwijken.</t>
  </si>
  <si>
    <t xml:space="preserve">Alleen de expliciete koppeling Emiel + Bas en hun eigen leads geldt als harde eis. Overige eigen-leadbezoeken zijn waar praktisch behouden.</t>
  </si>
  <si>
    <t xml:space="preserve">Controleer ontvangsttijden, fysieke kantoren en exacte ingangen vóór vertrek.</t>
  </si>
  <si>
    <t xml:space="preserve">Planning heeft reserve, maar geen expliciete aparte parkeerminuten per bezoek.</t>
  </si>
  <si>
    <t xml:space="preserve">Supper Club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</si>
</sst>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u val="single"/>
      <sz val="11"/>
      <color rgb="FF087E68"/>
      <name val="Calibri"/>
      <family val="0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u val="single"/>
      <sz val="11"/>
      <color rgb="FF087E6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7243A"/>
        <bgColor rgb="FF003366"/>
      </patternFill>
    </fill>
    <fill>
      <patternFill patternType="solid">
        <fgColor rgb="FF244466"/>
        <bgColor rgb="FF003366"/>
      </patternFill>
    </fill>
    <fill>
      <patternFill patternType="solid">
        <fgColor rgb="FFD9EAD3"/>
        <bgColor rgb="FFE2EFDA"/>
      </patternFill>
    </fill>
    <fill>
      <patternFill patternType="solid">
        <fgColor rgb="FFF4CCCC"/>
        <bgColor rgb="FFFFC7CE"/>
      </patternFill>
    </fill>
    <fill>
      <patternFill patternType="solid">
        <fgColor rgb="FFCFE2F3"/>
        <bgColor rgb="FFD9EAD3"/>
      </patternFill>
    </fill>
    <fill>
      <patternFill patternType="solid">
        <fgColor rgb="FFFCE5CD"/>
        <bgColor rgb="FFFFF0CE"/>
      </patternFill>
    </fill>
    <fill>
      <patternFill patternType="solid">
        <fgColor rgb="FFE2EFDA"/>
        <bgColor rgb="FFD9EAD3"/>
      </patternFill>
    </fill>
    <fill>
      <patternFill patternType="solid">
        <fgColor rgb="FFFFF0CE"/>
        <bgColor rgb="FFFCE5CD"/>
      </patternFill>
    </fill>
    <fill>
      <patternFill patternType="solid">
        <fgColor rgb="FFFFC7CE"/>
        <bgColor rgb="FFF4CCCC"/>
      </patternFill>
    </fill>
    <fill>
      <patternFill patternType="solid">
        <fgColor rgb="FFE8EFF5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CFE2F3"/>
        </patternFill>
      </fill>
    </dxf>
    <dxf>
      <fill>
        <patternFill>
          <bgColor rgb="FFFCE5CD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244466"/>
          <bgColor rgb="FF000000"/>
        </patternFill>
      </fill>
    </dxf>
    <dxf>
      <fill>
        <patternFill patternType="solid">
          <fgColor rgb="FFE8EF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0CE"/>
          <bgColor rgb="FF000000"/>
        </patternFill>
      </fill>
    </dxf>
    <dxf>
      <fill>
        <patternFill patternType="solid">
          <fgColor rgb="FF087E6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87E68"/>
      <rgbColor rgb="FFFFC7CE"/>
      <rgbColor rgb="FF808080"/>
      <rgbColor rgb="FF9999FF"/>
      <rgbColor rgb="FF993366"/>
      <rgbColor rgb="FFFFF0CE"/>
      <rgbColor rgb="FFE8EFF5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5CD"/>
      <rgbColor rgb="FFD9EAD3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4466"/>
      <rgbColor rgb="FF17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Energieweg%2010%2C%209743%20AN%2C%20Groningen%20Netherlands" TargetMode="External"/><Relationship Id="rId2" Type="http://schemas.openxmlformats.org/officeDocument/2006/relationships/hyperlink" Target="https://www.google.com/maps/search/?api=1&amp;query=Helsinkistraat%206%2C%209723%20BD%2C%20Groningen%20Netherlands" TargetMode="External"/><Relationship Id="rId3" Type="http://schemas.openxmlformats.org/officeDocument/2006/relationships/hyperlink" Target="https://www.google.com/maps/search/?api=1&amp;query=Nijverheidsweg%2016%2C%203762%20ER%2C%20Soest%20Netherlands" TargetMode="External"/><Relationship Id="rId4" Type="http://schemas.openxmlformats.org/officeDocument/2006/relationships/hyperlink" Target="https://www.google.com/maps/search/?api=1&amp;query=Zeeburgerdijk%2019B%2C%201093SK%2C%20Amsterdam%20Netherlands" TargetMode="External"/><Relationship Id="rId5" Type="http://schemas.openxmlformats.org/officeDocument/2006/relationships/hyperlink" Target="https://www.google.com/maps/search/?api=1&amp;query=Strandweg%20180%2C%202586%20JM%2C%20Den%20Haag%20Netherlands" TargetMode="External"/><Relationship Id="rId6" Type="http://schemas.openxmlformats.org/officeDocument/2006/relationships/hyperlink" Target="https://www.google.com/maps/search/?api=1&amp;query=Prinsegracht%2012%2C%202512%20GA%2C%20Den%20Haag%20Netherlands" TargetMode="External"/><Relationship Id="rId7" Type="http://schemas.openxmlformats.org/officeDocument/2006/relationships/hyperlink" Target="https://www.google.com/maps/search/?api=1&amp;query=Keilestraat%209F%2C%203029%20BP%2C%20Rotterdam%20Netherlands" TargetMode="External"/><Relationship Id="rId8" Type="http://schemas.openxmlformats.org/officeDocument/2006/relationships/hyperlink" Target="https://www.google.com/maps/search/?api=1&amp;query=Eendrachtsweg%2042%2C%203012%20LD%2C%20Rotterdam%20Netherlands" TargetMode="External"/><Relationship Id="rId9" Type="http://schemas.openxmlformats.org/officeDocument/2006/relationships/hyperlink" Target="https://www.google.com/maps/search/?api=1&amp;query=Slepersvest%201%2C%203011%20ML%2C%20Rotterdam%20Netherlands" TargetMode="External"/><Relationship Id="rId10" Type="http://schemas.openxmlformats.org/officeDocument/2006/relationships/hyperlink" Target="https://www.google.com/maps/search/?api=1&amp;query=Ahoyweg%2010%2C%203084%20BD%2C%20Rotterdam%20Netherlands" TargetMode="External"/><Relationship Id="rId11" Type="http://schemas.openxmlformats.org/officeDocument/2006/relationships/hyperlink" Target="https://www.google.com/maps/search/?api=1&amp;query=Boonsweg%2010%2C%20274%20LH%2C%20Heinenoord%20Netherlands" TargetMode="External"/><Relationship Id="rId12" Type="http://schemas.openxmlformats.org/officeDocument/2006/relationships/hyperlink" Target="https://www.google.com/maps/search/?api=1&amp;query=Hoofdweg-Noord%209K%2C%202913%20LB%2C%20Nieuwekerk%20ad%20IJssel%20Netherlands" TargetMode="External"/><Relationship Id="rId13" Type="http://schemas.openxmlformats.org/officeDocument/2006/relationships/hyperlink" Target="https://www.google.com/maps/search/?api=1&amp;query=Roodwilligen%2063%2C%206903%20TB%2C%20Zevenaar%20Netherlands" TargetMode="External"/><Relationship Id="rId14" Type="http://schemas.openxmlformats.org/officeDocument/2006/relationships/hyperlink" Target="https://www.google.com/maps/search/?api=1&amp;query=Oude%20Molenweg%20112%2C%206533WN%2C%20Nijmegen%20Netherlands" TargetMode="External"/><Relationship Id="rId15" Type="http://schemas.openxmlformats.org/officeDocument/2006/relationships/hyperlink" Target="https://www.google.com/maps/search/?api=1&amp;query=De%20Kolk%2013%2C%206541%20AV%2C%20Nijmegen%20Netherlands" TargetMode="External"/><Relationship Id="rId16" Type="http://schemas.openxmlformats.org/officeDocument/2006/relationships/hyperlink" Target="https://www.google.com/maps/search/?api=1&amp;query=Sint%20Sebastiaanstraat%2057%2C%205341%20LG%2C%20Oss%20Netherlands" TargetMode="External"/><Relationship Id="rId17" Type="http://schemas.openxmlformats.org/officeDocument/2006/relationships/hyperlink" Target="https://www.google.com/maps/search/?api=1&amp;query=Bussele%2017%2C%205469%20DT%2C%20Erp/Veghel%20Netherlands" TargetMode="External"/><Relationship Id="rId18" Type="http://schemas.openxmlformats.org/officeDocument/2006/relationships/hyperlink" Target="https://www.google.com/maps/search/?api=1&amp;query=Dragonder%2049J%2C%205555%20XZ%2C%20Valkenswaard%20Netherlands" TargetMode="External"/><Relationship Id="rId19" Type="http://schemas.openxmlformats.org/officeDocument/2006/relationships/hyperlink" Target="https://www.google.com/maps/search/?api=1&amp;query=Papaverweg%2014%2C%201032%20KH%2C%20Amsterdam%20Netherlands" TargetMode="External"/><Relationship Id="rId20" Type="http://schemas.openxmlformats.org/officeDocument/2006/relationships/hyperlink" Target="https://www.google.com/maps/search/?api=1&amp;query=Gedempt%20Hamerkanaal%2086%2C%201021%20KR%2C%20Amsterdam%20Netherlands" TargetMode="External"/><Relationship Id="rId21" Type="http://schemas.openxmlformats.org/officeDocument/2006/relationships/hyperlink" Target="https://www.google.com/maps/search/?api=1&amp;query=Lijnbaansgracht%20234A%2C%201017%20PH%2C%20Amsterdam%20Netherlands" TargetMode="External"/><Relationship Id="rId22" Type="http://schemas.openxmlformats.org/officeDocument/2006/relationships/hyperlink" Target="https://www.google.com/maps/search/?api=1&amp;query=Keizersgracht%20618%2C%201017%20ER%2C%20Amsterdam%20Netherlands" TargetMode="External"/><Relationship Id="rId23" Type="http://schemas.openxmlformats.org/officeDocument/2006/relationships/hyperlink" Target="https://www.google.com/maps/search/?api=1&amp;query=Prinsengracht%20754-3%2C%201017%20LD%2C%20Amsterdam%20Netherlands" TargetMode="External"/><Relationship Id="rId24" Type="http://schemas.openxmlformats.org/officeDocument/2006/relationships/hyperlink" Target="https://www.google.com/maps/search/?api=1&amp;query=Prinsengracht%20769%2C%201017%20JZ%2C%20Amsterdam%20Netherlands" TargetMode="External"/><Relationship Id="rId25" Type="http://schemas.openxmlformats.org/officeDocument/2006/relationships/hyperlink" Target="https://www.google.com/maps/search/?api=1&amp;query=Helicopterstraat%2025L%2C%201059%20CE%2C%20Amsterdam%20Netherlands" TargetMode="External"/><Relationship Id="rId26" Type="http://schemas.openxmlformats.org/officeDocument/2006/relationships/hyperlink" Target="https://www.google.com/maps/search/?api=1&amp;query=Keienbergweg%2093%2C%201101%20GE%2C%20Amsterdam%20Netherlands" TargetMode="External"/><Relationship Id="rId27" Type="http://schemas.openxmlformats.org/officeDocument/2006/relationships/hyperlink" Target="https://www.google.com/maps/search/?api=1&amp;query=Gein%20Zuid%209%2C%201391%20GT%2C%20Abcoude%20Netherlands" TargetMode="External"/><Relationship Id="rId28" Type="http://schemas.openxmlformats.org/officeDocument/2006/relationships/hyperlink" Target="https://www.google.com/maps/search/?api=1&amp;query=&#8217;s%20Gravelandseweg%2080%2C%201217EW%2C%20Hilversum%20Netherlands" TargetMode="External"/><Relationship Id="rId29" Type="http://schemas.openxmlformats.org/officeDocument/2006/relationships/hyperlink" Target="https://www.google.com/maps/search/?api=1&amp;query=Odasingel%2088%2C%206131%20GZ%2C%20Sittard%20Netherlands" TargetMode="External"/><Relationship Id="rId30" Type="http://schemas.openxmlformats.org/officeDocument/2006/relationships/hyperlink" Target="https://www.google.com/maps/search/?api=1&amp;query=Leidseweg%20125%2C%203533%20HC%2C%20Utrecht%20Netherlands" TargetMode="External"/><Relationship Id="rId31" Type="http://schemas.openxmlformats.org/officeDocument/2006/relationships/hyperlink" Target="https://www.google.com/maps/search/?api=1&amp;query=Jaarbeursplein%206%2C%203521%20AL%2C%20Utrecht%20Netherlands" TargetMode="External"/><Relationship Id="rId32" Type="http://schemas.openxmlformats.org/officeDocument/2006/relationships/hyperlink" Target="https://www.google.com/maps/search/?api=1&amp;query=Rokin%2054%2C%201012KV%2C%20Amsterdam%20Netherlands" TargetMode="External"/><Relationship Id="rId33" Type="http://schemas.openxmlformats.org/officeDocument/2006/relationships/hyperlink" Target="https://www.google.com/maps/search/?api=1&amp;query=Tondenpad%209%2C%201107PL%2C%20Amsterdam%20Netherlands" TargetMode="External"/><Relationship Id="rId34" Type="http://schemas.openxmlformats.org/officeDocument/2006/relationships/hyperlink" Target="https://www.google.com/maps/search/?api=1&amp;query=Danzigerbocht%2021%2C%201013%20AM%2C%20Amsterdam%20Netherlands" TargetMode="External"/><Relationship Id="rId35" Type="http://schemas.openxmlformats.org/officeDocument/2006/relationships/hyperlink" Target="https://www.google.com/maps/search/?api=1&amp;query=Polonceaukade%209%2C%201014%20DA%2C%20Amsterdam%20Netherlands" TargetMode="External"/><Relationship Id="rId36" Type="http://schemas.openxmlformats.org/officeDocument/2006/relationships/hyperlink" Target="https://www.google.com/maps/search/?api=1&amp;query=Contactweg%2068%2C%201014%20BW%2C%20Amsterdam%20Netherlands" TargetMode="External"/><Relationship Id="rId37" Type="http://schemas.openxmlformats.org/officeDocument/2006/relationships/hyperlink" Target="https://www.google.com/maps/search/?api=1&amp;query=Elementenstraat%2025%2C%201014%20AS%2C%20Amsterdam%20Netherlands" TargetMode="External"/><Relationship Id="rId38" Type="http://schemas.openxmlformats.org/officeDocument/2006/relationships/hyperlink" Target="https://www.google.com/maps/search/?api=1&amp;query=Dukdalfweg%2038%2C%201041%20BE%2C%20Amsterdam%20Netherlands" TargetMode="External"/><Relationship Id="rId39" Type="http://schemas.openxmlformats.org/officeDocument/2006/relationships/hyperlink" Target="https://www.google.com/maps/search/?api=1&amp;query=Basisweg%2063%2C%201043%20AN%2C%20Amsterdam%20Netherlands" TargetMode="External"/><Relationship Id="rId40" Type="http://schemas.openxmlformats.org/officeDocument/2006/relationships/hyperlink" Target="https://www.google.com/maps/search/?api=1&amp;query=Krelis%20Louwenstraat%201%2C%201055%20KA%2C%20Amsterdam%20Netherlands" TargetMode="External"/><Relationship Id="rId41" Type="http://schemas.openxmlformats.org/officeDocument/2006/relationships/hyperlink" Target="https://www.google.com/maps/search/?api=1&amp;query=Doctor%20Jan%20van%20Breemenstraat%201%2C%201056%20Ab%2C%20Amsterdam%20Netherlands" TargetMode="External"/><Relationship Id="rId42" Type="http://schemas.openxmlformats.org/officeDocument/2006/relationships/hyperlink" Target="https://www.google.com/maps/search/?api=1&amp;query=Weerenweg%2013%20unit%20A%2C%201161%20AE%2C%20Zwanenburg%20Netherlands" TargetMode="External"/><Relationship Id="rId43" Type="http://schemas.openxmlformats.org/officeDocument/2006/relationships/hyperlink" Target="https://www.google.com/maps/search/?api=1&amp;query=Zeeweg%2094%2C%20tent%207%20%28BL10%29%2C%202051%20EC%2C%20Bloemendaal%20aan%20Zee%20Netherland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Danzigerbocht%2029%2C%201013%20AM%2C%20Amsterdam%20Netherlands" TargetMode="External"/><Relationship Id="rId2" Type="http://schemas.openxmlformats.org/officeDocument/2006/relationships/hyperlink" Target="https://www.google.com/maps/search/?api=1&amp;query=Danzigerbocht%2021%2C%201013%20AM%2C%20Amsterdam%20Netherlands" TargetMode="External"/><Relationship Id="rId3" Type="http://schemas.openxmlformats.org/officeDocument/2006/relationships/hyperlink" Target="https://www.google.com/maps/search/?api=1&amp;query=Papaverweg%2014%2C%201032%20KH%2C%20Amsterdam%20Netherlands" TargetMode="External"/><Relationship Id="rId4" Type="http://schemas.openxmlformats.org/officeDocument/2006/relationships/hyperlink" Target="https://www.google.com/maps/search/?api=1&amp;query=Gedempt%20Hamerkanaal%2086%2C%201021%20KR%2C%20Amsterdam%20Netherlands" TargetMode="External"/><Relationship Id="rId5" Type="http://schemas.openxmlformats.org/officeDocument/2006/relationships/hyperlink" Target="https://www.google.com/maps/search/?api=1&amp;query=St.%20Pieterspoortsteeg%2033%2C%201012%20HM%2C%20Amsterdam%20Netherlands" TargetMode="External"/><Relationship Id="rId6" Type="http://schemas.openxmlformats.org/officeDocument/2006/relationships/hyperlink" Target="https://www.google.com/maps/search/?api=1&amp;query=Zeeburgerdijk%2019B%2C%201093SK%2C%20Amsterdam%20Netherlands" TargetMode="External"/><Relationship Id="rId7" Type="http://schemas.openxmlformats.org/officeDocument/2006/relationships/hyperlink" Target="https://www.google.com/maps/search/?api=1&amp;query=Kraaiennest%2080%2C%201104%20CE%2C%20Amsterdam%20Netherlands" TargetMode="External"/><Relationship Id="rId8" Type="http://schemas.openxmlformats.org/officeDocument/2006/relationships/hyperlink" Target="https://www.google.com/maps/search/?api=1&amp;query=Energieweg%2010%2C%209743%20AN%2C%20Groningen%20Netherlands" TargetMode="External"/><Relationship Id="rId9" Type="http://schemas.openxmlformats.org/officeDocument/2006/relationships/hyperlink" Target="https://www.google.com/maps/search/?api=1&amp;query=Helsinkistraat%206%2C%209723%20BD%2C%20Groningen%20Netherlands" TargetMode="External"/><Relationship Id="rId10" Type="http://schemas.openxmlformats.org/officeDocument/2006/relationships/hyperlink" Target="https://www.google.com/maps/search/?api=1&amp;query=Nijverheidsweg%2016%2C%203762%20ER%2C%20Soest%20Netherlands" TargetMode="External"/><Relationship Id="rId11" Type="http://schemas.openxmlformats.org/officeDocument/2006/relationships/hyperlink" Target="https://www.google.com/maps/search/?api=1&amp;query=Strandweg%20180%2C%202586%20JM%2C%20Den%20Haag%20Netherlands" TargetMode="External"/><Relationship Id="rId12" Type="http://schemas.openxmlformats.org/officeDocument/2006/relationships/hyperlink" Target="https://www.google.com/maps/search/?api=1&amp;query=Prinsegracht%2012%2C%202512%20GA%2C%20Den%20Haag%20Netherlands" TargetMode="External"/><Relationship Id="rId13" Type="http://schemas.openxmlformats.org/officeDocument/2006/relationships/hyperlink" Target="https://www.google.com/maps/search/?api=1&amp;query=Eendrachtsweg%2042%2C%203012%20LD%2C%20Rotterdam%20Netherlands" TargetMode="External"/><Relationship Id="rId14" Type="http://schemas.openxmlformats.org/officeDocument/2006/relationships/hyperlink" Target="https://www.google.com/maps/search/?api=1&amp;query=Ahoyweg%2010%2C%203084%20BD%2C%20Rotterdam%20Netherlands" TargetMode="External"/><Relationship Id="rId15" Type="http://schemas.openxmlformats.org/officeDocument/2006/relationships/hyperlink" Target="https://www.google.com/maps/search/?api=1&amp;query=Hoofdweg-Noord%209K%2C%202913%20LB%2C%20Nieuwekerk%20ad%20IJssel%20Netherlands" TargetMode="External"/><Relationship Id="rId16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Van%20der%20Sluysstraat%20176%2C%203033%20SR%2C%20Rotterdam%20Netherlands" TargetMode="External"/><Relationship Id="rId2" Type="http://schemas.openxmlformats.org/officeDocument/2006/relationships/hyperlink" Target="https://www.google.com/maps/search/?api=1&amp;query=Slepersvest%201%2C%203011%20ML%2C%20Rotterdam%20Netherlands" TargetMode="External"/><Relationship Id="rId3" Type="http://schemas.openxmlformats.org/officeDocument/2006/relationships/hyperlink" Target="https://www.google.com/maps/search/?api=1&amp;query=Keilestraat%209F%2C%203029%20BP%2C%20Rotterdam%20Netherlands" TargetMode="External"/><Relationship Id="rId4" Type="http://schemas.openxmlformats.org/officeDocument/2006/relationships/hyperlink" Target="https://www.google.com/maps/search/?api=1&amp;query=Boonsweg%2010%2C%20274%20LH%2C%20Heinenoord%20Netherlands" TargetMode="External"/><Relationship Id="rId5" Type="http://schemas.openxmlformats.org/officeDocument/2006/relationships/hyperlink" Target="https://www.google.com/maps/search/?api=1&amp;query=Oude%20Molenweg%20112%2C%206533WN%2C%20Nijmegen%20Netherlands" TargetMode="External"/><Relationship Id="rId6" Type="http://schemas.openxmlformats.org/officeDocument/2006/relationships/hyperlink" Target="https://www.google.com/maps/search/?api=1&amp;query=De%20Kolk%2013%2C%206541%20AV%2C%20Nijmegen%20Netherlands" TargetMode="External"/><Relationship Id="rId7" Type="http://schemas.openxmlformats.org/officeDocument/2006/relationships/hyperlink" Target="https://www.google.com/maps/search/?api=1&amp;query=Sint%20Sebastiaanstraat%2057%2C%205341%20LG%2C%20Oss%20Netherlands" TargetMode="External"/><Relationship Id="rId8" Type="http://schemas.openxmlformats.org/officeDocument/2006/relationships/hyperlink" Target="https://www.google.com/maps/search/?api=1&amp;query=Bussele%2017%2C%205469%20DT%2C%20Erp/Veghel%20Netherlands" TargetMode="External"/><Relationship Id="rId9" Type="http://schemas.openxmlformats.org/officeDocument/2006/relationships/hyperlink" Target="https://www.google.com/maps/search/?api=1&amp;query=Dragonder%2049J%2C%205555%20XZ%2C%20Valkenswaard%20Netherlands" TargetMode="External"/><Relationship Id="rId10" Type="http://schemas.openxmlformats.org/officeDocument/2006/relationships/hyperlink" Target="https://www.google.com/maps/search/?api=1&amp;query=Prinsengracht%20769%2C%201017%20JZ%2C%20Amsterdam%20Netherlands" TargetMode="External"/><Relationship Id="rId11" Type="http://schemas.openxmlformats.org/officeDocument/2006/relationships/hyperlink" Target="https://www.google.com/maps/search/?api=1&amp;query=Prinsengracht%20754-3%2C%201017%20LD%2C%20Amsterdam%20Netherlands" TargetMode="External"/><Relationship Id="rId12" Type="http://schemas.openxmlformats.org/officeDocument/2006/relationships/hyperlink" Target="https://www.google.com/maps/search/?api=1&amp;query=Keizersgracht%20618%2C%201017%20ER%2C%20Amsterdam%20Netherlands" TargetMode="External"/><Relationship Id="rId13" Type="http://schemas.openxmlformats.org/officeDocument/2006/relationships/hyperlink" Target="https://www.google.com/maps/search/?api=1&amp;query=Helicopterstraat%2025L%2C%201059%20CE%2C%20Amsterdam%20Netherlands" TargetMode="External"/><Relationship Id="rId14" Type="http://schemas.openxmlformats.org/officeDocument/2006/relationships/hyperlink" Target="https://www.google.com/maps/search/?api=1&amp;query=Keienbergweg%2093%2C%201101%20GE%2C%20Amsterdam%20Netherlands" TargetMode="External"/><Relationship Id="rId15" Type="http://schemas.openxmlformats.org/officeDocument/2006/relationships/hyperlink" Target="https://www.google.com/maps/search/?api=1&amp;query=Gein%20Zuid%209%2C%201391%20GT%2C%20Abcoude%20Netherlands" TargetMode="External"/><Relationship Id="rId16" Type="http://schemas.openxmlformats.org/officeDocument/2006/relationships/hyperlink" Target="https://www.google.com/maps/search/?api=1&amp;query=&#8217;s%20Gravelandseweg%2080%2C%201217EW%2C%20Hilversum%20Netherlands" TargetMode="External"/><Relationship Id="rId17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Weerenweg%2013%20unit%20A%2C%201161%20AE%2C%20Zwanenburg%20Netherlands" TargetMode="External"/><Relationship Id="rId2" Type="http://schemas.openxmlformats.org/officeDocument/2006/relationships/hyperlink" Target="https://www.google.com/maps/search/?api=1&amp;query=Doctor%20Jan%20van%20Breemenstraat%201%2C%201056%20Ab%2C%20Amsterdam%20Netherlands" TargetMode="External"/><Relationship Id="rId3" Type="http://schemas.openxmlformats.org/officeDocument/2006/relationships/hyperlink" Target="https://www.google.com/maps/search/?api=1&amp;query=Lijnbaansgracht%20234A%2C%201017%20PH%2C%20Amsterdam%20Netherlands" TargetMode="External"/><Relationship Id="rId4" Type="http://schemas.openxmlformats.org/officeDocument/2006/relationships/hyperlink" Target="https://www.google.com/maps/search/?api=1&amp;query=Basisweg%2063%2C%201043%20AN%2C%20Amsterdam%20Netherlands" TargetMode="External"/><Relationship Id="rId5" Type="http://schemas.openxmlformats.org/officeDocument/2006/relationships/hyperlink" Target="https://www.google.com/maps/search/?api=1&amp;query=Odasingel%2088%2C%206131%20GZ%2C%20Sittard%20Netherlands" TargetMode="External"/><Relationship Id="rId6" Type="http://schemas.openxmlformats.org/officeDocument/2006/relationships/hyperlink" Target="https://www.google.com/maps/search/?api=1&amp;query=Leidseweg%20125%2C%203533%20HC%2C%20Utrecht%20Netherlands" TargetMode="External"/><Relationship Id="rId7" Type="http://schemas.openxmlformats.org/officeDocument/2006/relationships/hyperlink" Target="https://www.google.com/maps/search/?api=1&amp;query=Rokin%2054%2C%201012KV%2C%20Amsterdam%20Netherlands" TargetMode="External"/><Relationship Id="rId8" Type="http://schemas.openxmlformats.org/officeDocument/2006/relationships/hyperlink" Target="https://www.google.com/maps/search/?api=1&amp;query=Tondenpad%209%2C%201107PL%2C%20Amsterdam%20Netherlands" TargetMode="External"/><Relationship Id="rId9" Type="http://schemas.openxmlformats.org/officeDocument/2006/relationships/hyperlink" Target="https://www.google.com/maps/search/?api=1&amp;query=Dukdalfweg%2038%2C%201041%20BE%2C%20Amsterdam%20Netherlands" TargetMode="External"/><Relationship Id="rId10" Type="http://schemas.openxmlformats.org/officeDocument/2006/relationships/hyperlink" Target="https://www.google.com/maps/search/?api=1&amp;query=Polonceaukade%209%2C%201014%20DA%2C%20Amsterdam%20Netherlands" TargetMode="External"/><Relationship Id="rId11" Type="http://schemas.openxmlformats.org/officeDocument/2006/relationships/hyperlink" Target="https://www.google.com/maps/search/?api=1&amp;query=Contactweg%2068%2C%201014%20BW%2C%20Amsterdam%20Netherlands" TargetMode="External"/><Relationship Id="rId12" Type="http://schemas.openxmlformats.org/officeDocument/2006/relationships/hyperlink" Target="https://www.google.com/maps/search/?api=1&amp;query=Elementenstraat%2025%2C%201014%20AS%2C%20Amsterdam%20Netherlands" TargetMode="External"/><Relationship Id="rId13" Type="http://schemas.openxmlformats.org/officeDocument/2006/relationships/hyperlink" Target="https://www.google.com/maps/search/?api=1&amp;query=Krelis%20Louwenstraat%201%2C%201055%20KA%2C%20Amsterdam%20Netherlands" TargetMode="External"/><Relationship Id="rId14" Type="http://schemas.openxmlformats.org/officeDocument/2006/relationships/hyperlink" Target="https://www.google.com/maps/search/?api=1&amp;query=Zeeweg%2094%2C%20tent%207%20%28BL10%29%2C%202051%20EC%2C%20Bloemendaal%20aan%20Zee%20Netherlands" TargetMode="External"/><Relationship Id="rId15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A"/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4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G4" s="2" t="s">
        <v>7</v>
      </c>
      <c r="H4" s="2" t="s">
        <v>8</v>
      </c>
    </row>
    <row r="5" customFormat="false" ht="15" hidden="false" customHeight="false" outlineLevel="0" collapsed="false">
      <c r="A5" s="0" t="n">
        <v>1</v>
      </c>
      <c r="B5" s="0" t="s">
        <v>9</v>
      </c>
      <c r="C5" s="3" t="s">
        <v>10</v>
      </c>
      <c r="D5" s="0" t="str">
        <f aca="false">IFERROR(INDEX('Planning 2 teams'!$A$1:$A$300,MATCH(B5,'Planning 2 teams'!$C$1:$C$300,0)),"Niet ingepland")</f>
        <v>Yasmijn + Steven</v>
      </c>
      <c r="E5" s="0" t="n">
        <f aca="false">IFERROR(COUNTIF('Planning 2 teams'!$A$1:INDEX('Planning 2 teams'!$A$1:$A$300,MATCH(B5,'Planning 2 teams'!$C$1:$C$300,0)),"DAG *"),"")</f>
        <v>1</v>
      </c>
      <c r="G5" s="4" t="s">
        <v>10</v>
      </c>
      <c r="H5" s="5" t="n">
        <f aca="false">COUNTIF($C$5:$C$47,G5)</f>
        <v>15</v>
      </c>
    </row>
    <row r="6" customFormat="false" ht="15" hidden="false" customHeight="false" outlineLevel="0" collapsed="false">
      <c r="A6" s="0" t="n">
        <v>2</v>
      </c>
      <c r="B6" s="0" t="s">
        <v>11</v>
      </c>
      <c r="C6" s="3" t="s">
        <v>10</v>
      </c>
      <c r="D6" s="0" t="str">
        <f aca="false">IFERROR(INDEX('Planning 2 teams'!$A$1:$A$300,MATCH(B6,'Planning 2 teams'!$C$1:$C$300,0)),"Niet ingepland")</f>
        <v>Yasmijn + Steven</v>
      </c>
      <c r="E6" s="0" t="n">
        <f aca="false">IFERROR(COUNTIF('Planning 2 teams'!$A$1:INDEX('Planning 2 teams'!$A$1:$A$300,MATCH(B6,'Planning 2 teams'!$C$1:$C$300,0)),"DAG *"),"")</f>
        <v>1</v>
      </c>
      <c r="G6" s="6" t="s">
        <v>12</v>
      </c>
      <c r="H6" s="5" t="n">
        <f aca="false">COUNTIF($C$5:$C$47,G6)</f>
        <v>19</v>
      </c>
    </row>
    <row r="7" customFormat="false" ht="15" hidden="false" customHeight="false" outlineLevel="0" collapsed="false">
      <c r="A7" s="0" t="n">
        <v>3</v>
      </c>
      <c r="B7" s="0" t="s">
        <v>13</v>
      </c>
      <c r="C7" s="3" t="s">
        <v>10</v>
      </c>
      <c r="D7" s="0" t="str">
        <f aca="false">IFERROR(INDEX('Planning 2 teams'!$A$1:$A$300,MATCH(B7,'Planning 2 teams'!$C$1:$C$300,0)),"Niet ingepland")</f>
        <v>Yasmijn + Steven</v>
      </c>
      <c r="E7" s="0" t="n">
        <f aca="false">IFERROR(COUNTIF('Planning 2 teams'!$A$1:INDEX('Planning 2 teams'!$A$1:$A$300,MATCH(B7,'Planning 2 teams'!$C$1:$C$300,0)),"DAG *"),"")</f>
        <v>1</v>
      </c>
      <c r="G7" s="7" t="s">
        <v>14</v>
      </c>
      <c r="H7" s="5" t="n">
        <f aca="false">COUNTIF($C$5:$C$47,G7)</f>
        <v>7</v>
      </c>
    </row>
    <row r="8" customFormat="false" ht="15" hidden="false" customHeight="false" outlineLevel="0" collapsed="false">
      <c r="A8" s="0" t="n">
        <v>4</v>
      </c>
      <c r="B8" s="0" t="s">
        <v>15</v>
      </c>
      <c r="C8" s="3" t="s">
        <v>12</v>
      </c>
      <c r="D8" s="0" t="str">
        <f aca="false">IFERROR(INDEX('Planning 2 teams'!$A$1:$A$300,MATCH(B8,'Planning 2 teams'!$C$1:$C$300,0)),"Niet ingepland")</f>
        <v>Yasmijn + Steven</v>
      </c>
      <c r="E8" s="0" t="n">
        <f aca="false">IFERROR(COUNTIF('Planning 2 teams'!$A$1:INDEX('Planning 2 teams'!$A$1:$A$300,MATCH(B8,'Planning 2 teams'!$C$1:$C$300,0)),"DAG *"),"")</f>
        <v>1</v>
      </c>
      <c r="G8" s="8" t="s">
        <v>16</v>
      </c>
      <c r="H8" s="5" t="n">
        <f aca="false">COUNTIF($C$5:$C$47,G8)</f>
        <v>2</v>
      </c>
    </row>
    <row r="9" customFormat="false" ht="15" hidden="false" customHeight="false" outlineLevel="0" collapsed="false">
      <c r="A9" s="0" t="n">
        <v>5</v>
      </c>
      <c r="B9" s="0" t="s">
        <v>17</v>
      </c>
      <c r="C9" s="3" t="s">
        <v>14</v>
      </c>
      <c r="D9" s="0" t="str">
        <f aca="false">IFERROR(INDEX('Planning 2 teams'!$A$1:$A$300,MATCH(B9,'Planning 2 teams'!$C$1:$C$300,0)),"Niet ingepland")</f>
        <v>Yasmijn + Steven</v>
      </c>
      <c r="E9" s="0" t="n">
        <f aca="false">IFERROR(COUNTIF('Planning 2 teams'!$A$1:INDEX('Planning 2 teams'!$A$1:$A$300,MATCH(B9,'Planning 2 teams'!$C$1:$C$300,0)),"DAG *"),"")</f>
        <v>2</v>
      </c>
      <c r="G9" s="9" t="s">
        <v>18</v>
      </c>
      <c r="H9" s="9" t="n">
        <f aca="false">SUM(H5:H8)</f>
        <v>43</v>
      </c>
    </row>
    <row r="10" customFormat="false" ht="15" hidden="false" customHeight="false" outlineLevel="0" collapsed="false">
      <c r="A10" s="0" t="n">
        <v>6</v>
      </c>
      <c r="B10" s="0" t="s">
        <v>19</v>
      </c>
      <c r="C10" s="3" t="s">
        <v>14</v>
      </c>
      <c r="D10" s="0" t="str">
        <f aca="false">IFERROR(INDEX('Planning 2 teams'!$A$1:$A$300,MATCH(B10,'Planning 2 teams'!$C$1:$C$300,0)),"Niet ingepland")</f>
        <v>Yasmijn + Steven</v>
      </c>
      <c r="E10" s="0" t="n">
        <f aca="false">IFERROR(COUNTIF('Planning 2 teams'!$A$1:INDEX('Planning 2 teams'!$A$1:$A$300,MATCH(B10,'Planning 2 teams'!$C$1:$C$300,0)),"DAG *"),"")</f>
        <v>2</v>
      </c>
    </row>
    <row r="11" customFormat="false" ht="15" hidden="false" customHeight="false" outlineLevel="0" collapsed="false">
      <c r="A11" s="0" t="n">
        <v>7</v>
      </c>
      <c r="B11" s="0" t="s">
        <v>20</v>
      </c>
      <c r="C11" s="3" t="s">
        <v>10</v>
      </c>
      <c r="D11" s="0" t="str">
        <f aca="false">IFERROR(INDEX('Planning 2 teams'!$A$1:$A$300,MATCH(B11,'Planning 2 teams'!$C$1:$C$300,0)),"Niet ingepland")</f>
        <v>Yasmijn + Steven</v>
      </c>
      <c r="E11" s="0" t="n">
        <f aca="false">IFERROR(COUNTIF('Planning 2 teams'!$A$1:INDEX('Planning 2 teams'!$A$1:$A$300,MATCH(B11,'Planning 2 teams'!$C$1:$C$300,0)),"DAG *"),"")</f>
        <v>2</v>
      </c>
    </row>
    <row r="12" customFormat="false" ht="15" hidden="false" customHeight="false" outlineLevel="0" collapsed="false">
      <c r="A12" s="0" t="n">
        <v>8</v>
      </c>
      <c r="B12" s="0" t="s">
        <v>21</v>
      </c>
      <c r="C12" s="3" t="s">
        <v>10</v>
      </c>
      <c r="D12" s="0" t="str">
        <f aca="false">IFERROR(INDEX('Planning 2 teams'!$A$1:$A$300,MATCH(B12,'Planning 2 teams'!$C$1:$C$300,0)),"Niet ingepland")</f>
        <v>Yasmijn + Steven</v>
      </c>
      <c r="E12" s="0" t="n">
        <f aca="false">IFERROR(COUNTIF('Planning 2 teams'!$A$1:INDEX('Planning 2 teams'!$A$1:$A$300,MATCH(B12,'Planning 2 teams'!$C$1:$C$300,0)),"DAG *"),"")</f>
        <v>2</v>
      </c>
    </row>
    <row r="13" customFormat="false" ht="15" hidden="false" customHeight="false" outlineLevel="0" collapsed="false">
      <c r="A13" s="0" t="n">
        <v>9</v>
      </c>
      <c r="B13" s="0" t="s">
        <v>22</v>
      </c>
      <c r="C13" s="3" t="s">
        <v>10</v>
      </c>
      <c r="D13" s="0" t="str">
        <f aca="false">IFERROR(INDEX('Planning 2 teams'!$A$1:$A$300,MATCH(B13,'Planning 2 teams'!$C$1:$C$300,0)),"Niet ingepland")</f>
        <v>Yasmijn + Steven</v>
      </c>
      <c r="E13" s="0" t="n">
        <f aca="false">IFERROR(COUNTIF('Planning 2 teams'!$A$1:INDEX('Planning 2 teams'!$A$1:$A$300,MATCH(B13,'Planning 2 teams'!$C$1:$C$300,0)),"DAG *"),"")</f>
        <v>2</v>
      </c>
    </row>
    <row r="14" customFormat="false" ht="15" hidden="false" customHeight="false" outlineLevel="0" collapsed="false">
      <c r="A14" s="0" t="n">
        <v>10</v>
      </c>
      <c r="B14" s="0" t="s">
        <v>23</v>
      </c>
      <c r="C14" s="3" t="s">
        <v>10</v>
      </c>
      <c r="D14" s="0" t="str">
        <f aca="false">IFERROR(INDEX('Planning 2 teams'!$A$1:$A$300,MATCH(B14,'Planning 2 teams'!$C$1:$C$300,0)),"Niet ingepland")</f>
        <v>Yasmijn + Steven</v>
      </c>
      <c r="E14" s="0" t="n">
        <f aca="false">IFERROR(COUNTIF('Planning 2 teams'!$A$1:INDEX('Planning 2 teams'!$A$1:$A$300,MATCH(B14,'Planning 2 teams'!$C$1:$C$300,0)),"DAG *"),"")</f>
        <v>2</v>
      </c>
    </row>
    <row r="15" customFormat="false" ht="15" hidden="false" customHeight="false" outlineLevel="0" collapsed="false">
      <c r="A15" s="0" t="n">
        <v>11</v>
      </c>
      <c r="B15" s="0" t="s">
        <v>24</v>
      </c>
      <c r="C15" s="3" t="s">
        <v>14</v>
      </c>
      <c r="D15" s="0" t="str">
        <f aca="false">IFERROR(INDEX('Planning 2 teams'!$A$1:$A$300,MATCH(B15,'Planning 2 teams'!$C$1:$C$300,0)),"Niet ingepland")</f>
        <v>Yasmijn + Steven</v>
      </c>
      <c r="E15" s="0" t="n">
        <f aca="false">IFERROR(COUNTIF('Planning 2 teams'!$A$1:INDEX('Planning 2 teams'!$A$1:$A$300,MATCH(B15,'Planning 2 teams'!$C$1:$C$300,0)),"DAG *"),"")</f>
        <v>3</v>
      </c>
    </row>
    <row r="16" customFormat="false" ht="15" hidden="false" customHeight="false" outlineLevel="0" collapsed="false">
      <c r="A16" s="0" t="n">
        <v>12</v>
      </c>
      <c r="B16" s="0" t="s">
        <v>25</v>
      </c>
      <c r="C16" s="3" t="s">
        <v>10</v>
      </c>
      <c r="D16" s="0" t="str">
        <f aca="false">IFERROR(INDEX('Planning 2 teams'!$A$1:$A$300,MATCH(B16,'Planning 2 teams'!$C$1:$C$300,0)),"Niet ingepland")</f>
        <v>Yasmijn + Steven</v>
      </c>
      <c r="E16" s="0" t="n">
        <f aca="false">IFERROR(COUNTIF('Planning 2 teams'!$A$1:INDEX('Planning 2 teams'!$A$1:$A$300,MATCH(B16,'Planning 2 teams'!$C$1:$C$300,0)),"DAG *"),"")</f>
        <v>3</v>
      </c>
    </row>
    <row r="17" customFormat="false" ht="15" hidden="false" customHeight="false" outlineLevel="0" collapsed="false">
      <c r="A17" s="0" t="n">
        <v>13</v>
      </c>
      <c r="B17" s="0" t="s">
        <v>26</v>
      </c>
      <c r="C17" s="3" t="s">
        <v>14</v>
      </c>
      <c r="D17" s="0" t="str">
        <f aca="false">IFERROR(INDEX('Planning 2 teams'!$A$1:$A$300,MATCH(B17,'Planning 2 teams'!$C$1:$C$300,0)),"Niet ingepland")</f>
        <v>Yasmijn + Steven</v>
      </c>
      <c r="E17" s="0" t="n">
        <f aca="false">IFERROR(COUNTIF('Planning 2 teams'!$A$1:INDEX('Planning 2 teams'!$A$1:$A$300,MATCH(B17,'Planning 2 teams'!$C$1:$C$300,0)),"DAG *"),"")</f>
        <v>3</v>
      </c>
    </row>
    <row r="18" customFormat="false" ht="15" hidden="false" customHeight="false" outlineLevel="0" collapsed="false">
      <c r="A18" s="0" t="n">
        <v>14</v>
      </c>
      <c r="B18" s="0" t="s">
        <v>27</v>
      </c>
      <c r="C18" s="3" t="s">
        <v>10</v>
      </c>
      <c r="D18" s="0" t="str">
        <f aca="false">IFERROR(INDEX('Planning 2 teams'!$A$1:$A$300,MATCH(B18,'Planning 2 teams'!$C$1:$C$300,0)),"Niet ingepland")</f>
        <v>Yasmijn + Steven</v>
      </c>
      <c r="E18" s="0" t="n">
        <f aca="false">IFERROR(COUNTIF('Planning 2 teams'!$A$1:INDEX('Planning 2 teams'!$A$1:$A$300,MATCH(B18,'Planning 2 teams'!$C$1:$C$300,0)),"DAG *"),"")</f>
        <v>3</v>
      </c>
    </row>
    <row r="19" customFormat="false" ht="15" hidden="false" customHeight="false" outlineLevel="0" collapsed="false">
      <c r="A19" s="0" t="n">
        <v>15</v>
      </c>
      <c r="B19" s="0" t="s">
        <v>28</v>
      </c>
      <c r="C19" s="3" t="s">
        <v>10</v>
      </c>
      <c r="D19" s="0" t="str">
        <f aca="false">IFERROR(INDEX('Planning 2 teams'!$A$1:$A$300,MATCH(B19,'Planning 2 teams'!$C$1:$C$300,0)),"Niet ingepland")</f>
        <v>Yasmijn + Steven</v>
      </c>
      <c r="E19" s="0" t="n">
        <f aca="false">IFERROR(COUNTIF('Planning 2 teams'!$A$1:INDEX('Planning 2 teams'!$A$1:$A$300,MATCH(B19,'Planning 2 teams'!$C$1:$C$300,0)),"DAG *"),"")</f>
        <v>3</v>
      </c>
    </row>
    <row r="20" customFormat="false" ht="15" hidden="false" customHeight="false" outlineLevel="0" collapsed="false">
      <c r="A20" s="0" t="n">
        <v>16</v>
      </c>
      <c r="B20" s="0" t="s">
        <v>29</v>
      </c>
      <c r="C20" s="3" t="s">
        <v>14</v>
      </c>
      <c r="D20" s="0" t="str">
        <f aca="false">IFERROR(INDEX('Planning 2 teams'!$A$1:$A$300,MATCH(B20,'Planning 2 teams'!$C$1:$C$300,0)),"Niet ingepland")</f>
        <v>Friso + Thierry</v>
      </c>
      <c r="E20" s="0" t="n">
        <f aca="false">IFERROR(COUNTIF('Planning 2 teams'!$A$1:INDEX('Planning 2 teams'!$A$1:$A$300,MATCH(B20,'Planning 2 teams'!$C$1:$C$300,0)),"DAG *"),"")</f>
        <v>1</v>
      </c>
    </row>
    <row r="21" customFormat="false" ht="15" hidden="false" customHeight="false" outlineLevel="0" collapsed="false">
      <c r="A21" s="0" t="n">
        <v>17</v>
      </c>
      <c r="B21" s="0" t="s">
        <v>30</v>
      </c>
      <c r="C21" s="3" t="s">
        <v>10</v>
      </c>
      <c r="D21" s="0" t="str">
        <f aca="false">IFERROR(INDEX('Planning 2 teams'!$A$1:$A$300,MATCH(B21,'Planning 2 teams'!$C$1:$C$300,0)),"Niet ingepland")</f>
        <v>Friso + Thierry</v>
      </c>
      <c r="E21" s="0" t="n">
        <f aca="false">IFERROR(COUNTIF('Planning 2 teams'!$A$1:INDEX('Planning 2 teams'!$A$1:$A$300,MATCH(B21,'Planning 2 teams'!$C$1:$C$300,0)),"DAG *"),"")</f>
        <v>1</v>
      </c>
    </row>
    <row r="22" customFormat="false" ht="15" hidden="false" customHeight="false" outlineLevel="0" collapsed="false">
      <c r="A22" s="0" t="n">
        <v>18</v>
      </c>
      <c r="B22" s="0" t="s">
        <v>31</v>
      </c>
      <c r="C22" s="3" t="s">
        <v>10</v>
      </c>
      <c r="D22" s="0" t="str">
        <f aca="false">IFERROR(INDEX('Planning 2 teams'!$A$1:$A$300,MATCH(B22,'Planning 2 teams'!$C$1:$C$300,0)),"Niet ingepland")</f>
        <v>Friso + Thierry</v>
      </c>
      <c r="E22" s="0" t="n">
        <f aca="false">IFERROR(COUNTIF('Planning 2 teams'!$A$1:INDEX('Planning 2 teams'!$A$1:$A$300,MATCH(B22,'Planning 2 teams'!$C$1:$C$300,0)),"DAG *"),"")</f>
        <v>1</v>
      </c>
    </row>
    <row r="23" customFormat="false" ht="15" hidden="false" customHeight="false" outlineLevel="0" collapsed="false">
      <c r="A23" s="0" t="n">
        <v>19</v>
      </c>
      <c r="B23" s="0" t="s">
        <v>32</v>
      </c>
      <c r="C23" s="3" t="s">
        <v>12</v>
      </c>
      <c r="D23" s="0" t="str">
        <f aca="false">IFERROR(INDEX('Planning 2 teams'!$A$1:$A$300,MATCH(B23,'Planning 2 teams'!$C$1:$C$300,0)),"Niet ingepland")</f>
        <v>Friso + Thierry</v>
      </c>
      <c r="E23" s="0" t="n">
        <f aca="false">IFERROR(COUNTIF('Planning 2 teams'!$A$1:INDEX('Planning 2 teams'!$A$1:$A$300,MATCH(B23,'Planning 2 teams'!$C$1:$C$300,0)),"DAG *"),"")</f>
        <v>1</v>
      </c>
    </row>
    <row r="24" customFormat="false" ht="15" hidden="false" customHeight="false" outlineLevel="0" collapsed="false">
      <c r="A24" s="0" t="n">
        <v>20</v>
      </c>
      <c r="B24" s="0" t="s">
        <v>33</v>
      </c>
      <c r="C24" s="3" t="s">
        <v>12</v>
      </c>
      <c r="D24" s="0" t="str">
        <f aca="false">IFERROR(INDEX('Planning 2 teams'!$A$1:$A$300,MATCH(B24,'Planning 2 teams'!$C$1:$C$300,0)),"Niet ingepland")</f>
        <v>Friso + Thierry</v>
      </c>
      <c r="E24" s="0" t="n">
        <f aca="false">IFERROR(COUNTIF('Planning 2 teams'!$A$1:INDEX('Planning 2 teams'!$A$1:$A$300,MATCH(B24,'Planning 2 teams'!$C$1:$C$300,0)),"DAG *"),"")</f>
        <v>1</v>
      </c>
    </row>
    <row r="25" customFormat="false" ht="15" hidden="false" customHeight="false" outlineLevel="0" collapsed="false">
      <c r="A25" s="0" t="n">
        <v>21</v>
      </c>
      <c r="B25" s="0" t="s">
        <v>34</v>
      </c>
      <c r="C25" s="3" t="s">
        <v>12</v>
      </c>
      <c r="D25" s="0" t="str">
        <f aca="false">IFERROR(INDEX('Planning 2 teams'!$A$1:$A$300,MATCH(B25,'Planning 2 teams'!$C$1:$C$300,0)),"Niet ingepland")</f>
        <v>Friso + Thierry</v>
      </c>
      <c r="E25" s="0" t="n">
        <f aca="false">IFERROR(COUNTIF('Planning 2 teams'!$A$1:INDEX('Planning 2 teams'!$A$1:$A$300,MATCH(B25,'Planning 2 teams'!$C$1:$C$300,0)),"DAG *"),"")</f>
        <v>1</v>
      </c>
    </row>
    <row r="26" customFormat="false" ht="15" hidden="false" customHeight="false" outlineLevel="0" collapsed="false">
      <c r="A26" s="0" t="n">
        <v>22</v>
      </c>
      <c r="B26" s="0" t="s">
        <v>35</v>
      </c>
      <c r="C26" s="3" t="s">
        <v>14</v>
      </c>
      <c r="D26" s="0" t="str">
        <f aca="false">IFERROR(INDEX('Planning 2 teams'!$A$1:$A$300,MATCH(B26,'Planning 2 teams'!$C$1:$C$300,0)),"Niet ingepland")</f>
        <v>Friso + Thierry</v>
      </c>
      <c r="E26" s="0" t="n">
        <f aca="false">IFERROR(COUNTIF('Planning 2 teams'!$A$1:INDEX('Planning 2 teams'!$A$1:$A$300,MATCH(B26,'Planning 2 teams'!$C$1:$C$300,0)),"DAG *"),"")</f>
        <v>1</v>
      </c>
    </row>
    <row r="27" customFormat="false" ht="15" hidden="false" customHeight="false" outlineLevel="0" collapsed="false">
      <c r="A27" s="0" t="n">
        <v>23</v>
      </c>
      <c r="B27" s="0" t="s">
        <v>36</v>
      </c>
      <c r="C27" s="3" t="s">
        <v>12</v>
      </c>
      <c r="D27" s="0" t="str">
        <f aca="false">IFERROR(INDEX('Planning 2 teams'!$A$1:$A$300,MATCH(B27,'Planning 2 teams'!$C$1:$C$300,0)),"Niet ingepland")</f>
        <v>Friso + Thierry</v>
      </c>
      <c r="E27" s="0" t="n">
        <f aca="false">IFERROR(COUNTIF('Planning 2 teams'!$A$1:INDEX('Planning 2 teams'!$A$1:$A$300,MATCH(B27,'Planning 2 teams'!$C$1:$C$300,0)),"DAG *"),"")</f>
        <v>1</v>
      </c>
    </row>
    <row r="28" customFormat="false" ht="15" hidden="false" customHeight="false" outlineLevel="0" collapsed="false">
      <c r="A28" s="0" t="n">
        <v>24</v>
      </c>
      <c r="B28" s="0" t="s">
        <v>37</v>
      </c>
      <c r="C28" s="3" t="s">
        <v>12</v>
      </c>
      <c r="D28" s="0" t="str">
        <f aca="false">IFERROR(INDEX('Planning 2 teams'!$A$1:$A$300,MATCH(B28,'Planning 2 teams'!$C$1:$C$300,0)),"Niet ingepland")</f>
        <v>Friso + Thierry</v>
      </c>
      <c r="E28" s="0" t="n">
        <f aca="false">IFERROR(COUNTIF('Planning 2 teams'!$A$1:INDEX('Planning 2 teams'!$A$1:$A$300,MATCH(B28,'Planning 2 teams'!$C$1:$C$300,0)),"DAG *"),"")</f>
        <v>2</v>
      </c>
    </row>
    <row r="29" customFormat="false" ht="15" hidden="false" customHeight="false" outlineLevel="0" collapsed="false">
      <c r="A29" s="0" t="n">
        <v>25</v>
      </c>
      <c r="B29" s="0" t="s">
        <v>38</v>
      </c>
      <c r="C29" s="3" t="s">
        <v>12</v>
      </c>
      <c r="D29" s="0" t="str">
        <f aca="false">IFERROR(INDEX('Planning 2 teams'!$A$1:$A$300,MATCH(B29,'Planning 2 teams'!$C$1:$C$300,0)),"Niet ingepland")</f>
        <v>Friso + Thierry</v>
      </c>
      <c r="E29" s="0" t="n">
        <f aca="false">IFERROR(COUNTIF('Planning 2 teams'!$A$1:INDEX('Planning 2 teams'!$A$1:$A$300,MATCH(B29,'Planning 2 teams'!$C$1:$C$300,0)),"DAG *"),"")</f>
        <v>2</v>
      </c>
    </row>
    <row r="30" customFormat="false" ht="15" hidden="false" customHeight="false" outlineLevel="0" collapsed="false">
      <c r="A30" s="0" t="n">
        <v>26</v>
      </c>
      <c r="B30" s="0" t="s">
        <v>39</v>
      </c>
      <c r="C30" s="3" t="s">
        <v>16</v>
      </c>
      <c r="D30" s="0" t="str">
        <f aca="false">IFERROR(INDEX('Planning 2 teams'!$A$1:$A$300,MATCH(B30,'Planning 2 teams'!$C$1:$C$300,0)),"Niet ingepland")</f>
        <v>Friso + Thierry</v>
      </c>
      <c r="E30" s="0" t="n">
        <f aca="false">IFERROR(COUNTIF('Planning 2 teams'!$A$1:INDEX('Planning 2 teams'!$A$1:$A$300,MATCH(B30,'Planning 2 teams'!$C$1:$C$300,0)),"DAG *"),"")</f>
        <v>2</v>
      </c>
    </row>
    <row r="31" customFormat="false" ht="15" hidden="false" customHeight="false" outlineLevel="0" collapsed="false">
      <c r="A31" s="0" t="n">
        <v>27</v>
      </c>
      <c r="B31" s="0" t="s">
        <v>40</v>
      </c>
      <c r="C31" s="3" t="s">
        <v>12</v>
      </c>
      <c r="D31" s="0" t="str">
        <f aca="false">IFERROR(INDEX('Planning 2 teams'!$A$1:$A$300,MATCH(B31,'Planning 2 teams'!$C$1:$C$300,0)),"Niet ingepland")</f>
        <v>Friso + Thierry</v>
      </c>
      <c r="E31" s="0" t="n">
        <f aca="false">IFERROR(COUNTIF('Planning 2 teams'!$A$1:INDEX('Planning 2 teams'!$A$1:$A$300,MATCH(B31,'Planning 2 teams'!$C$1:$C$300,0)),"DAG *"),"")</f>
        <v>2</v>
      </c>
    </row>
    <row r="32" customFormat="false" ht="15" hidden="false" customHeight="false" outlineLevel="0" collapsed="false">
      <c r="A32" s="0" t="n">
        <v>28</v>
      </c>
      <c r="B32" s="0" t="s">
        <v>41</v>
      </c>
      <c r="C32" s="3" t="s">
        <v>12</v>
      </c>
      <c r="D32" s="0" t="str">
        <f aca="false">IFERROR(INDEX('Planning 2 teams'!$A$1:$A$300,MATCH(B32,'Planning 2 teams'!$C$1:$C$300,0)),"Niet ingepland")</f>
        <v>Friso + Thierry</v>
      </c>
      <c r="E32" s="0" t="n">
        <f aca="false">IFERROR(COUNTIF('Planning 2 teams'!$A$1:INDEX('Planning 2 teams'!$A$1:$A$300,MATCH(B32,'Planning 2 teams'!$C$1:$C$300,0)),"DAG *"),"")</f>
        <v>2</v>
      </c>
    </row>
    <row r="33" customFormat="false" ht="15" hidden="false" customHeight="false" outlineLevel="0" collapsed="false">
      <c r="A33" s="0" t="n">
        <v>29</v>
      </c>
      <c r="B33" s="0" t="s">
        <v>42</v>
      </c>
      <c r="C33" s="3" t="s">
        <v>12</v>
      </c>
      <c r="D33" s="0" t="str">
        <f aca="false">IFERROR(INDEX('Planning 2 teams'!$A$1:$A$300,MATCH(B33,'Planning 2 teams'!$C$1:$C$300,0)),"Niet ingepland")</f>
        <v>Friso + Thierry</v>
      </c>
      <c r="E33" s="0" t="n">
        <f aca="false">IFERROR(COUNTIF('Planning 2 teams'!$A$1:INDEX('Planning 2 teams'!$A$1:$A$300,MATCH(B33,'Planning 2 teams'!$C$1:$C$300,0)),"DAG *"),"")</f>
        <v>2</v>
      </c>
    </row>
    <row r="34" customFormat="false" ht="15" hidden="false" customHeight="false" outlineLevel="0" collapsed="false">
      <c r="A34" s="0" t="n">
        <v>30</v>
      </c>
      <c r="B34" s="0" t="s">
        <v>43</v>
      </c>
      <c r="C34" s="3" t="s">
        <v>12</v>
      </c>
      <c r="D34" s="0" t="str">
        <f aca="false">IFERROR(INDEX('Planning 2 teams'!$A$1:$A$300,MATCH(B34,'Planning 2 teams'!$C$1:$C$300,0)),"Niet ingepland")</f>
        <v>Friso + Thierry</v>
      </c>
      <c r="E34" s="0" t="n">
        <f aca="false">IFERROR(COUNTIF('Planning 2 teams'!$A$1:INDEX('Planning 2 teams'!$A$1:$A$300,MATCH(B34,'Planning 2 teams'!$C$1:$C$300,0)),"DAG *"),"")</f>
        <v>2</v>
      </c>
    </row>
    <row r="35" customFormat="false" ht="15" hidden="false" customHeight="false" outlineLevel="0" collapsed="false">
      <c r="A35" s="0" t="n">
        <v>31</v>
      </c>
      <c r="B35" s="0" t="s">
        <v>44</v>
      </c>
      <c r="C35" s="3" t="s">
        <v>12</v>
      </c>
      <c r="D35" s="0" t="str">
        <f aca="false">IFERROR(INDEX('Planning 2 teams'!$A$1:$A$300,MATCH(B35,'Planning 2 teams'!$C$1:$C$300,0)),"Niet ingepland")</f>
        <v>Friso + Thierry</v>
      </c>
      <c r="E35" s="0" t="n">
        <f aca="false">IFERROR(COUNTIF('Planning 2 teams'!$A$1:INDEX('Planning 2 teams'!$A$1:$A$300,MATCH(B35,'Planning 2 teams'!$C$1:$C$300,0)),"DAG *"),"")</f>
        <v>2</v>
      </c>
    </row>
    <row r="36" customFormat="false" ht="15" hidden="false" customHeight="false" outlineLevel="0" collapsed="false">
      <c r="A36" s="0" t="n">
        <v>32</v>
      </c>
      <c r="B36" s="0" t="s">
        <v>45</v>
      </c>
      <c r="C36" s="3" t="s">
        <v>12</v>
      </c>
      <c r="D36" s="0" t="str">
        <f aca="false">IFERROR(INDEX('Planning 2 teams'!$A$1:$A$300,MATCH(B36,'Planning 2 teams'!$C$1:$C$300,0)),"Niet ingepland")</f>
        <v>Friso + Thierry</v>
      </c>
      <c r="E36" s="0" t="n">
        <f aca="false">IFERROR(COUNTIF('Planning 2 teams'!$A$1:INDEX('Planning 2 teams'!$A$1:$A$300,MATCH(B36,'Planning 2 teams'!$C$1:$C$300,0)),"DAG *"),"")</f>
        <v>2</v>
      </c>
    </row>
    <row r="37" customFormat="false" ht="15" hidden="false" customHeight="false" outlineLevel="0" collapsed="false">
      <c r="A37" s="0" t="n">
        <v>33</v>
      </c>
      <c r="B37" s="0" t="s">
        <v>46</v>
      </c>
      <c r="C37" s="3" t="s">
        <v>12</v>
      </c>
      <c r="D37" s="0" t="str">
        <f aca="false">IFERROR(INDEX('Planning 2 teams'!$A$1:$A$300,MATCH(B37,'Planning 2 teams'!$C$1:$C$300,0)),"Niet ingepland")</f>
        <v>Friso + Thierry</v>
      </c>
      <c r="E37" s="0" t="n">
        <f aca="false">IFERROR(COUNTIF('Planning 2 teams'!$A$1:INDEX('Planning 2 teams'!$A$1:$A$300,MATCH(B37,'Planning 2 teams'!$C$1:$C$300,0)),"DAG *"),"")</f>
        <v>2</v>
      </c>
    </row>
    <row r="38" customFormat="false" ht="15" hidden="false" customHeight="false" outlineLevel="0" collapsed="false">
      <c r="A38" s="0" t="n">
        <v>34</v>
      </c>
      <c r="B38" s="0" t="s">
        <v>47</v>
      </c>
      <c r="C38" s="3" t="s">
        <v>12</v>
      </c>
      <c r="D38" s="0" t="str">
        <f aca="false">IFERROR(INDEX('Planning 2 teams'!$A$1:$A$300,MATCH(B38,'Planning 2 teams'!$C$1:$C$300,0)),"Niet ingepland")</f>
        <v>Friso + Thierry</v>
      </c>
      <c r="E38" s="0" t="n">
        <f aca="false">IFERROR(COUNTIF('Planning 2 teams'!$A$1:INDEX('Planning 2 teams'!$A$1:$A$300,MATCH(B38,'Planning 2 teams'!$C$1:$C$300,0)),"DAG *"),"")</f>
        <v>3</v>
      </c>
    </row>
    <row r="39" customFormat="false" ht="15" hidden="false" customHeight="false" outlineLevel="0" collapsed="false">
      <c r="A39" s="0" t="n">
        <v>35</v>
      </c>
      <c r="B39" s="0" t="s">
        <v>48</v>
      </c>
      <c r="C39" s="3" t="s">
        <v>10</v>
      </c>
      <c r="D39" s="0" t="str">
        <f aca="false">IFERROR(INDEX('Planning 2 teams'!$A$1:$A$300,MATCH(B39,'Planning 2 teams'!$C$1:$C$300,0)),"Niet ingepland")</f>
        <v>Friso + Thierry</v>
      </c>
      <c r="E39" s="0" t="n">
        <f aca="false">IFERROR(COUNTIF('Planning 2 teams'!$A$1:INDEX('Planning 2 teams'!$A$1:$A$300,MATCH(B39,'Planning 2 teams'!$C$1:$C$300,0)),"DAG *"),"")</f>
        <v>3</v>
      </c>
    </row>
    <row r="40" customFormat="false" ht="15" hidden="false" customHeight="false" outlineLevel="0" collapsed="false">
      <c r="A40" s="0" t="n">
        <v>36</v>
      </c>
      <c r="B40" s="0" t="s">
        <v>49</v>
      </c>
      <c r="C40" s="3" t="s">
        <v>12</v>
      </c>
      <c r="D40" s="0" t="str">
        <f aca="false">IFERROR(INDEX('Planning 2 teams'!$A$1:$A$300,MATCH(B40,'Planning 2 teams'!$C$1:$C$300,0)),"Niet ingepland")</f>
        <v>Friso + Thierry</v>
      </c>
      <c r="E40" s="0" t="n">
        <f aca="false">IFERROR(COUNTIF('Planning 2 teams'!$A$1:INDEX('Planning 2 teams'!$A$1:$A$300,MATCH(B40,'Planning 2 teams'!$C$1:$C$300,0)),"DAG *"),"")</f>
        <v>3</v>
      </c>
    </row>
    <row r="41" customFormat="false" ht="15" hidden="false" customHeight="false" outlineLevel="0" collapsed="false">
      <c r="A41" s="0" t="n">
        <v>37</v>
      </c>
      <c r="B41" s="0" t="s">
        <v>50</v>
      </c>
      <c r="C41" s="3" t="s">
        <v>12</v>
      </c>
      <c r="D41" s="0" t="str">
        <f aca="false">IFERROR(INDEX('Planning 2 teams'!$A$1:$A$300,MATCH(B41,'Planning 2 teams'!$C$1:$C$300,0)),"Niet ingepland")</f>
        <v>Friso + Thierry</v>
      </c>
      <c r="E41" s="0" t="n">
        <f aca="false">IFERROR(COUNTIF('Planning 2 teams'!$A$1:INDEX('Planning 2 teams'!$A$1:$A$300,MATCH(B41,'Planning 2 teams'!$C$1:$C$300,0)),"DAG *"),"")</f>
        <v>3</v>
      </c>
    </row>
    <row r="42" customFormat="false" ht="15" hidden="false" customHeight="false" outlineLevel="0" collapsed="false">
      <c r="A42" s="0" t="n">
        <v>38</v>
      </c>
      <c r="B42" s="0" t="s">
        <v>51</v>
      </c>
      <c r="C42" s="3" t="s">
        <v>10</v>
      </c>
      <c r="D42" s="0" t="str">
        <f aca="false">IFERROR(INDEX('Planning 2 teams'!$A$1:$A$300,MATCH(B42,'Planning 2 teams'!$C$1:$C$300,0)),"Niet ingepland")</f>
        <v>Friso + Thierry</v>
      </c>
      <c r="E42" s="0" t="n">
        <f aca="false">IFERROR(COUNTIF('Planning 2 teams'!$A$1:INDEX('Planning 2 teams'!$A$1:$A$300,MATCH(B42,'Planning 2 teams'!$C$1:$C$300,0)),"DAG *"),"")</f>
        <v>3</v>
      </c>
    </row>
    <row r="43" customFormat="false" ht="15" hidden="false" customHeight="false" outlineLevel="0" collapsed="false">
      <c r="A43" s="0" t="n">
        <v>39</v>
      </c>
      <c r="B43" s="0" t="s">
        <v>52</v>
      </c>
      <c r="C43" s="3" t="s">
        <v>10</v>
      </c>
      <c r="D43" s="0" t="str">
        <f aca="false">IFERROR(INDEX('Planning 2 teams'!$A$1:$A$300,MATCH(B43,'Planning 2 teams'!$C$1:$C$300,0)),"Niet ingepland")</f>
        <v>Friso + Thierry</v>
      </c>
      <c r="E43" s="0" t="n">
        <f aca="false">IFERROR(COUNTIF('Planning 2 teams'!$A$1:INDEX('Planning 2 teams'!$A$1:$A$300,MATCH(B43,'Planning 2 teams'!$C$1:$C$300,0)),"DAG *"),"")</f>
        <v>3</v>
      </c>
    </row>
    <row r="44" customFormat="false" ht="15" hidden="false" customHeight="false" outlineLevel="0" collapsed="false">
      <c r="A44" s="0" t="n">
        <v>40</v>
      </c>
      <c r="B44" s="0" t="s">
        <v>53</v>
      </c>
      <c r="C44" s="3" t="s">
        <v>12</v>
      </c>
      <c r="D44" s="0" t="str">
        <f aca="false">IFERROR(INDEX('Planning 2 teams'!$A$1:$A$300,MATCH(B44,'Planning 2 teams'!$C$1:$C$300,0)),"Niet ingepland")</f>
        <v>Friso + Thierry</v>
      </c>
      <c r="E44" s="0" t="n">
        <f aca="false">IFERROR(COUNTIF('Planning 2 teams'!$A$1:INDEX('Planning 2 teams'!$A$1:$A$300,MATCH(B44,'Planning 2 teams'!$C$1:$C$300,0)),"DAG *"),"")</f>
        <v>3</v>
      </c>
    </row>
    <row r="45" customFormat="false" ht="15" hidden="false" customHeight="false" outlineLevel="0" collapsed="false">
      <c r="A45" s="0" t="n">
        <v>41</v>
      </c>
      <c r="B45" s="0" t="s">
        <v>54</v>
      </c>
      <c r="C45" s="3" t="s">
        <v>16</v>
      </c>
      <c r="D45" s="0" t="str">
        <f aca="false">IFERROR(INDEX('Planning 2 teams'!$A$1:$A$300,MATCH(B45,'Planning 2 teams'!$C$1:$C$300,0)),"Niet ingepland")</f>
        <v>Friso + Thierry</v>
      </c>
      <c r="E45" s="0" t="n">
        <f aca="false">IFERROR(COUNTIF('Planning 2 teams'!$A$1:INDEX('Planning 2 teams'!$A$1:$A$300,MATCH(B45,'Planning 2 teams'!$C$1:$C$300,0)),"DAG *"),"")</f>
        <v>3</v>
      </c>
    </row>
    <row r="46" customFormat="false" ht="15" hidden="false" customHeight="false" outlineLevel="0" collapsed="false">
      <c r="A46" s="0" t="n">
        <v>42</v>
      </c>
      <c r="B46" s="0" t="s">
        <v>55</v>
      </c>
      <c r="C46" s="3" t="s">
        <v>12</v>
      </c>
      <c r="D46" s="0" t="str">
        <f aca="false">IFERROR(INDEX('Planning 2 teams'!$A$1:$A$300,MATCH(B46,'Planning 2 teams'!$C$1:$C$300,0)),"Niet ingepland")</f>
        <v>Friso + Thierry</v>
      </c>
      <c r="E46" s="0" t="n">
        <f aca="false">IFERROR(COUNTIF('Planning 2 teams'!$A$1:INDEX('Planning 2 teams'!$A$1:$A$300,MATCH(B46,'Planning 2 teams'!$C$1:$C$300,0)),"DAG *"),"")</f>
        <v>3</v>
      </c>
    </row>
    <row r="47" customFormat="false" ht="15" hidden="false" customHeight="false" outlineLevel="0" collapsed="false">
      <c r="A47" s="0" t="n">
        <v>43</v>
      </c>
      <c r="B47" s="0" t="s">
        <v>56</v>
      </c>
      <c r="C47" s="3" t="s">
        <v>14</v>
      </c>
      <c r="D47" s="0" t="str">
        <f aca="false">IFERROR(INDEX('Planning 2 teams'!$A$1:$A$300,MATCH(B47,'Planning 2 teams'!$C$1:$C$300,0)),"Niet ingepland")</f>
        <v>Friso + Thierry</v>
      </c>
      <c r="E47" s="0" t="n">
        <f aca="false">IFERROR(COUNTIF('Planning 2 teams'!$A$1:INDEX('Planning 2 teams'!$A$1:$A$300,MATCH(B47,'Planning 2 teams'!$C$1:$C$300,0)),"DAG *"),"")</f>
        <v>3</v>
      </c>
    </row>
  </sheetData>
  <conditionalFormatting sqref="C5:C47">
    <cfRule type="cellIs" priority="2" operator="equal" aboveAverage="0" equalAverage="0" bottom="0" percent="0" rank="0" text="" dxfId="0">
      <formula>"Yasmijn"</formula>
    </cfRule>
    <cfRule type="cellIs" priority="3" operator="equal" aboveAverage="0" equalAverage="0" bottom="0" percent="0" rank="0" text="" dxfId="1">
      <formula>"Friso"</formula>
    </cfRule>
    <cfRule type="cellIs" priority="4" operator="equal" aboveAverage="0" equalAverage="0" bottom="0" percent="0" rank="0" text="" dxfId="2">
      <formula>"Thierry"</formula>
    </cfRule>
    <cfRule type="cellIs" priority="5" operator="equal" aboveAverage="0" equalAverage="0" bottom="0" percent="0" rank="0" text="" dxfId="3">
      <formula>"Odin"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4466"/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9"/>
    <col collapsed="false" customWidth="true" hidden="false" outlineLevel="0" max="9" min="8" style="0" width="14"/>
    <col collapsed="false" customWidth="true" hidden="false" outlineLevel="0" max="10" min="10" style="0" width="44"/>
    <col collapsed="false" customWidth="true" hidden="false" outlineLevel="0" max="11" min="11" style="0" width="18"/>
  </cols>
  <sheetData>
    <row r="1" customFormat="false" ht="18.7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0" t="s">
        <v>58</v>
      </c>
      <c r="B2" s="0" t="s">
        <v>59</v>
      </c>
      <c r="C2" s="0" t="s">
        <v>60</v>
      </c>
      <c r="D2" s="0" t="s">
        <v>61</v>
      </c>
    </row>
    <row r="3" customFormat="false" ht="15" hidden="false" customHeight="false" outlineLevel="0" collapsed="false">
      <c r="A3" s="0" t="s">
        <v>62</v>
      </c>
      <c r="B3" s="0" t="s">
        <v>63</v>
      </c>
      <c r="C3" s="0" t="s">
        <v>64</v>
      </c>
      <c r="D3" s="0" t="s">
        <v>65</v>
      </c>
    </row>
    <row r="4" customFormat="false" ht="15" hidden="false" customHeight="false" outlineLevel="0" collapsed="false">
      <c r="A4" s="0" t="s">
        <v>66</v>
      </c>
      <c r="B4" s="0" t="s">
        <v>67</v>
      </c>
    </row>
    <row r="5" customFormat="false" ht="15" hidden="false" customHeight="false" outlineLevel="0" collapsed="false">
      <c r="A5" s="0" t="s">
        <v>68</v>
      </c>
      <c r="B5" s="0" t="s">
        <v>69</v>
      </c>
    </row>
    <row r="6" customFormat="false" ht="15" hidden="false" customHeight="false" outlineLevel="0" collapsed="false">
      <c r="A6" s="0" t="s">
        <v>7</v>
      </c>
      <c r="C6" s="10" t="s">
        <v>70</v>
      </c>
      <c r="D6" s="11" t="s">
        <v>71</v>
      </c>
      <c r="E6" s="12" t="s">
        <v>72</v>
      </c>
    </row>
    <row r="8" customFormat="false" ht="15" hidden="false" customHeight="false" outlineLevel="0" collapsed="false">
      <c r="A8" s="13" t="s">
        <v>5</v>
      </c>
      <c r="B8" s="13" t="s">
        <v>6</v>
      </c>
      <c r="C8" s="13" t="s">
        <v>8</v>
      </c>
      <c r="D8" s="13" t="s">
        <v>73</v>
      </c>
      <c r="E8" s="13" t="s">
        <v>74</v>
      </c>
      <c r="F8" s="13" t="s">
        <v>75</v>
      </c>
      <c r="G8" s="13" t="s">
        <v>76</v>
      </c>
      <c r="H8" s="13" t="s">
        <v>77</v>
      </c>
      <c r="I8" s="13" t="s">
        <v>78</v>
      </c>
      <c r="J8" s="13" t="s">
        <v>79</v>
      </c>
    </row>
    <row r="9" customFormat="false" ht="24" hidden="false" customHeight="true" outlineLevel="0" collapsed="false">
      <c r="A9" s="0" t="s">
        <v>80</v>
      </c>
      <c r="B9" s="0" t="n">
        <v>1</v>
      </c>
      <c r="C9" s="0" t="n">
        <f aca="false">COUNT(B20:B23)</f>
        <v>4</v>
      </c>
      <c r="D9" s="0" t="n">
        <f aca="false">COUNTIF(J20:J23,"Eigen lead*")</f>
        <v>3</v>
      </c>
      <c r="E9" s="0" t="n">
        <f aca="false">COUNTIF(J20:J23,"*was Emiel + Bas*")</f>
        <v>1</v>
      </c>
      <c r="F9" s="0" t="n">
        <f aca="false">SUM(G20:G24)</f>
        <v>319</v>
      </c>
      <c r="G9" s="0" t="n">
        <f aca="false">C9*20</f>
        <v>80</v>
      </c>
      <c r="H9" s="0" t="n">
        <v>30</v>
      </c>
      <c r="I9" s="14" t="n">
        <f aca="false">H24</f>
        <v>0.69375</v>
      </c>
      <c r="J9" s="0" t="str">
        <f aca="false">IF(I9&lt;=TIME(17,30,0),"JA","NEE")</f>
        <v>JA</v>
      </c>
    </row>
    <row r="10" customFormat="false" ht="24" hidden="false" customHeight="true" outlineLevel="0" collapsed="false">
      <c r="A10" s="0" t="s">
        <v>80</v>
      </c>
      <c r="B10" s="0" t="n">
        <v>2</v>
      </c>
      <c r="C10" s="0" t="n">
        <f aca="false">COUNT(B41:B46)</f>
        <v>6</v>
      </c>
      <c r="D10" s="0" t="n">
        <f aca="false">COUNTIF(J41:J46,"Eigen lead*")</f>
        <v>4</v>
      </c>
      <c r="E10" s="0" t="n">
        <f aca="false">COUNTIF(J41:J46,"*was Emiel + Bas*")</f>
        <v>1</v>
      </c>
      <c r="F10" s="0" t="n">
        <f aca="false">SUM(G41:G47)</f>
        <v>356</v>
      </c>
      <c r="G10" s="0" t="n">
        <f aca="false">C10*20</f>
        <v>120</v>
      </c>
      <c r="H10" s="0" t="n">
        <v>30</v>
      </c>
      <c r="I10" s="14" t="n">
        <f aca="false">H47</f>
        <v>0.747222222222222</v>
      </c>
      <c r="J10" s="0" t="str">
        <f aca="false">IF(I10&lt;=TIME(17,30,0),"JA","NEE")</f>
        <v>NEE</v>
      </c>
    </row>
    <row r="11" customFormat="false" ht="24" hidden="false" customHeight="true" outlineLevel="0" collapsed="false">
      <c r="A11" s="0" t="s">
        <v>80</v>
      </c>
      <c r="B11" s="0" t="n">
        <v>3</v>
      </c>
      <c r="C11" s="0" t="n">
        <f aca="false">COUNT(B66:B70)</f>
        <v>5</v>
      </c>
      <c r="D11" s="0" t="n">
        <f aca="false">COUNTIF(J66:J70,"Eigen lead*")</f>
        <v>3</v>
      </c>
      <c r="E11" s="0" t="n">
        <f aca="false">COUNTIF(J66:J70,"*was Emiel + Bas*")</f>
        <v>0</v>
      </c>
      <c r="F11" s="0" t="n">
        <f aca="false">SUM(G66:G71)</f>
        <v>328</v>
      </c>
      <c r="G11" s="0" t="n">
        <f aca="false">C11*20</f>
        <v>100</v>
      </c>
      <c r="H11" s="0" t="n">
        <v>30</v>
      </c>
      <c r="I11" s="14" t="n">
        <f aca="false">H71</f>
        <v>0.713888888888889</v>
      </c>
      <c r="J11" s="0" t="str">
        <f aca="false">IF(I11&lt;=TIME(17,30,0),"JA","NEE")</f>
        <v>JA</v>
      </c>
    </row>
    <row r="12" customFormat="false" ht="24" hidden="false" customHeight="true" outlineLevel="0" collapsed="false">
      <c r="A12" s="0" t="s">
        <v>81</v>
      </c>
      <c r="B12" s="0" t="n">
        <v>1</v>
      </c>
      <c r="C12" s="0" t="n">
        <f aca="false">COUNT(B27:B34)</f>
        <v>8</v>
      </c>
      <c r="D12" s="0" t="n">
        <f aca="false">COUNTIF(J27:J34,"Eigen lead*")</f>
        <v>6</v>
      </c>
      <c r="E12" s="0" t="n">
        <f aca="false">COUNTIF(J27:J34,"*was Emiel + Bas*")</f>
        <v>3</v>
      </c>
      <c r="F12" s="0" t="n">
        <f aca="false">SUM(G27:G35)</f>
        <v>295</v>
      </c>
      <c r="G12" s="0" t="n">
        <f aca="false">C12*20</f>
        <v>160</v>
      </c>
      <c r="H12" s="0" t="n">
        <v>30</v>
      </c>
      <c r="I12" s="14" t="n">
        <f aca="false">H35</f>
        <v>0.732638888888889</v>
      </c>
      <c r="J12" s="0" t="str">
        <f aca="false">IF(I12&lt;=TIME(17,30,0),"JA","NEE")</f>
        <v>NEE</v>
      </c>
    </row>
    <row r="13" customFormat="false" ht="24" hidden="false" customHeight="true" outlineLevel="0" collapsed="false">
      <c r="A13" s="0" t="s">
        <v>81</v>
      </c>
      <c r="B13" s="0" t="n">
        <v>2</v>
      </c>
      <c r="C13" s="0" t="n">
        <f aca="false">COUNT(B50:B59)</f>
        <v>10</v>
      </c>
      <c r="D13" s="0" t="n">
        <f aca="false">COUNTIF(J50:J59,"Eigen lead*")</f>
        <v>9</v>
      </c>
      <c r="E13" s="0" t="n">
        <f aca="false">COUNTIF(J50:J59,"*was Emiel + Bas*")</f>
        <v>3</v>
      </c>
      <c r="F13" s="0" t="n">
        <f aca="false">SUM(G50:G60)</f>
        <v>190</v>
      </c>
      <c r="G13" s="0" t="n">
        <f aca="false">C13*20</f>
        <v>200</v>
      </c>
      <c r="H13" s="0" t="n">
        <v>30</v>
      </c>
      <c r="I13" s="14" t="n">
        <f aca="false">H60</f>
        <v>0.6875</v>
      </c>
      <c r="J13" s="0" t="str">
        <f aca="false">IF(I13&lt;=TIME(17,30,0),"JA","NEE")</f>
        <v>JA</v>
      </c>
    </row>
    <row r="14" customFormat="false" ht="24" hidden="false" customHeight="true" outlineLevel="0" collapsed="false">
      <c r="A14" s="0" t="s">
        <v>81</v>
      </c>
      <c r="B14" s="0" t="n">
        <v>3</v>
      </c>
      <c r="C14" s="0" t="n">
        <f aca="false">COUNT(B74:B83)</f>
        <v>10</v>
      </c>
      <c r="D14" s="0" t="n">
        <f aca="false">COUNTIF(J74:J83,"Eigen lead*")</f>
        <v>6</v>
      </c>
      <c r="E14" s="0" t="n">
        <f aca="false">COUNTIF(J74:J83,"*was Emiel + Bas*")</f>
        <v>4</v>
      </c>
      <c r="F14" s="0" t="n">
        <f aca="false">SUM(G74:G84)</f>
        <v>179</v>
      </c>
      <c r="G14" s="0" t="n">
        <f aca="false">C14*20</f>
        <v>200</v>
      </c>
      <c r="H14" s="0" t="n">
        <v>30</v>
      </c>
      <c r="I14" s="14" t="n">
        <f aca="false">H84</f>
        <v>0.679861111111111</v>
      </c>
      <c r="J14" s="0" t="str">
        <f aca="false">IF(I14&lt;=TIME(17,30,0),"JA","NEE")</f>
        <v>JA</v>
      </c>
    </row>
    <row r="15" customFormat="false" ht="15" hidden="false" customHeight="false" outlineLevel="0" collapsed="false">
      <c r="A15" s="9" t="s">
        <v>18</v>
      </c>
      <c r="C15" s="9" t="n">
        <f aca="false">SUM(C9:C14)</f>
        <v>43</v>
      </c>
      <c r="D15" s="9" t="n">
        <f aca="false">SUM(D9:D14)</f>
        <v>31</v>
      </c>
      <c r="E15" s="9" t="n">
        <f aca="false">SUM(E9:E14)</f>
        <v>12</v>
      </c>
      <c r="F15" s="9" t="n">
        <f aca="false">SUM(F9:F14)</f>
        <v>1667</v>
      </c>
      <c r="G15" s="9" t="n">
        <f aca="false">SUM(G9:G14)</f>
        <v>860</v>
      </c>
    </row>
    <row r="17" customFormat="false" ht="15.75" hidden="false" customHeight="true" outlineLevel="0" collapsed="false">
      <c r="A17" s="15" t="s">
        <v>82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28.35" hidden="false" customHeight="false" outlineLevel="0" collapsed="false">
      <c r="A18" s="13" t="s">
        <v>5</v>
      </c>
      <c r="B18" s="13" t="s">
        <v>83</v>
      </c>
      <c r="C18" s="13" t="s">
        <v>3</v>
      </c>
      <c r="D18" s="13" t="s">
        <v>4</v>
      </c>
      <c r="E18" s="13" t="s">
        <v>84</v>
      </c>
      <c r="F18" s="13" t="s">
        <v>85</v>
      </c>
      <c r="G18" s="13" t="s">
        <v>86</v>
      </c>
      <c r="H18" s="13" t="s">
        <v>87</v>
      </c>
      <c r="I18" s="13" t="s">
        <v>88</v>
      </c>
      <c r="J18" s="13" t="s">
        <v>89</v>
      </c>
      <c r="K18" s="13" t="s">
        <v>90</v>
      </c>
    </row>
    <row r="19" customFormat="false" ht="15" hidden="false" customHeight="false" outlineLevel="0" collapsed="false">
      <c r="A19" s="16" t="s">
        <v>80</v>
      </c>
      <c r="B19" s="16" t="s">
        <v>91</v>
      </c>
      <c r="C19" s="16" t="s">
        <v>59</v>
      </c>
      <c r="D19" s="16"/>
      <c r="E19" s="16" t="s">
        <v>92</v>
      </c>
      <c r="F19" s="16" t="s">
        <v>93</v>
      </c>
      <c r="G19" s="16" t="n">
        <v>0</v>
      </c>
      <c r="H19" s="17" t="n">
        <v>0.395833333333333</v>
      </c>
      <c r="I19" s="17" t="n">
        <v>0.395833333333333</v>
      </c>
      <c r="J19" s="16" t="s">
        <v>94</v>
      </c>
      <c r="K19" s="16"/>
    </row>
    <row r="20" customFormat="false" ht="33.75" hidden="false" customHeight="true" outlineLevel="0" collapsed="false">
      <c r="A20" s="18" t="s">
        <v>80</v>
      </c>
      <c r="B20" s="18" t="n">
        <v>1</v>
      </c>
      <c r="C20" s="18" t="s">
        <v>9</v>
      </c>
      <c r="D20" s="18" t="s">
        <v>10</v>
      </c>
      <c r="E20" s="18" t="s">
        <v>95</v>
      </c>
      <c r="F20" s="18" t="s">
        <v>96</v>
      </c>
      <c r="G20" s="18" t="n">
        <v>130</v>
      </c>
      <c r="H20" s="19" t="n">
        <f aca="false">I19+G20/1440+0/1440</f>
        <v>0.486111111111111</v>
      </c>
      <c r="I20" s="19" t="n">
        <f aca="false">H20+20/1440</f>
        <v>0.5</v>
      </c>
      <c r="J20" s="18" t="s">
        <v>97</v>
      </c>
      <c r="K20" s="20" t="s">
        <v>98</v>
      </c>
    </row>
    <row r="21" customFormat="false" ht="33.75" hidden="false" customHeight="true" outlineLevel="0" collapsed="false">
      <c r="A21" s="18" t="s">
        <v>80</v>
      </c>
      <c r="B21" s="18" t="n">
        <v>2</v>
      </c>
      <c r="C21" s="18" t="s">
        <v>11</v>
      </c>
      <c r="D21" s="18" t="s">
        <v>10</v>
      </c>
      <c r="E21" s="18" t="s">
        <v>99</v>
      </c>
      <c r="F21" s="18" t="s">
        <v>96</v>
      </c>
      <c r="G21" s="18" t="n">
        <v>17</v>
      </c>
      <c r="H21" s="19" t="n">
        <f aca="false">I20+G21/1440+0/1440</f>
        <v>0.511805555555556</v>
      </c>
      <c r="I21" s="19" t="n">
        <f aca="false">H21+20/1440</f>
        <v>0.525694444444445</v>
      </c>
      <c r="J21" s="18" t="s">
        <v>97</v>
      </c>
      <c r="K21" s="20" t="s">
        <v>98</v>
      </c>
    </row>
    <row r="22" customFormat="false" ht="33.75" hidden="false" customHeight="true" outlineLevel="0" collapsed="false">
      <c r="A22" s="18" t="s">
        <v>80</v>
      </c>
      <c r="B22" s="18" t="n">
        <v>3</v>
      </c>
      <c r="C22" s="18" t="s">
        <v>13</v>
      </c>
      <c r="D22" s="18" t="s">
        <v>10</v>
      </c>
      <c r="E22" s="18" t="s">
        <v>100</v>
      </c>
      <c r="F22" s="18" t="s">
        <v>101</v>
      </c>
      <c r="G22" s="18" t="n">
        <v>115</v>
      </c>
      <c r="H22" s="19" t="n">
        <f aca="false">I21+G22/1440+0/1440</f>
        <v>0.605555555555556</v>
      </c>
      <c r="I22" s="19" t="n">
        <f aca="false">H22+20/1440</f>
        <v>0.619444444444445</v>
      </c>
      <c r="J22" s="18" t="s">
        <v>97</v>
      </c>
      <c r="K22" s="20" t="s">
        <v>98</v>
      </c>
    </row>
    <row r="23" customFormat="false" ht="33.75" hidden="false" customHeight="true" outlineLevel="0" collapsed="false">
      <c r="A23" s="21" t="s">
        <v>80</v>
      </c>
      <c r="B23" s="21" t="n">
        <v>4</v>
      </c>
      <c r="C23" s="22" t="s">
        <v>15</v>
      </c>
      <c r="D23" s="18" t="s">
        <v>12</v>
      </c>
      <c r="E23" s="18" t="s">
        <v>102</v>
      </c>
      <c r="F23" s="18" t="s">
        <v>93</v>
      </c>
      <c r="G23" s="18" t="n">
        <v>45</v>
      </c>
      <c r="H23" s="19" t="n">
        <f aca="false">I22+G23/1440+0/1440</f>
        <v>0.650694444444445</v>
      </c>
      <c r="I23" s="19" t="n">
        <f aca="false">H23+20/1440</f>
        <v>0.664583333333333</v>
      </c>
      <c r="J23" s="23" t="s">
        <v>103</v>
      </c>
      <c r="K23" s="20" t="s">
        <v>98</v>
      </c>
    </row>
    <row r="24" customFormat="false" ht="15" hidden="false" customHeight="false" outlineLevel="0" collapsed="false">
      <c r="A24" s="16" t="s">
        <v>80</v>
      </c>
      <c r="B24" s="16" t="s">
        <v>104</v>
      </c>
      <c r="C24" s="16" t="s">
        <v>59</v>
      </c>
      <c r="D24" s="16"/>
      <c r="E24" s="16" t="s">
        <v>105</v>
      </c>
      <c r="F24" s="16" t="s">
        <v>93</v>
      </c>
      <c r="G24" s="16" t="n">
        <v>12</v>
      </c>
      <c r="H24" s="17" t="n">
        <f aca="false">I23+G24/1440+30/1440</f>
        <v>0.69375</v>
      </c>
      <c r="I24" s="17" t="n">
        <f aca="false">H24</f>
        <v>0.69375</v>
      </c>
      <c r="J24" s="24" t="str">
        <f aca="false">IF(H24&gt;TIME(17,30,0),"Inclusief lunch van 30 min | LET OP: na 17:30 terug, zie Aandachtspunten","Inclusief lunch van 30 min")</f>
        <v>Inclusief lunch van 30 min</v>
      </c>
      <c r="K24" s="16"/>
    </row>
    <row r="26" customFormat="false" ht="15" hidden="false" customHeight="false" outlineLevel="0" collapsed="false">
      <c r="A26" s="16" t="s">
        <v>81</v>
      </c>
      <c r="B26" s="16" t="s">
        <v>91</v>
      </c>
      <c r="C26" s="16" t="s">
        <v>59</v>
      </c>
      <c r="D26" s="16"/>
      <c r="E26" s="16" t="s">
        <v>92</v>
      </c>
      <c r="F26" s="16" t="s">
        <v>93</v>
      </c>
      <c r="G26" s="16" t="n">
        <v>0</v>
      </c>
      <c r="H26" s="17" t="n">
        <v>0.395833333333333</v>
      </c>
      <c r="I26" s="17" t="n">
        <v>0.395833333333333</v>
      </c>
      <c r="J26" s="16" t="s">
        <v>94</v>
      </c>
      <c r="K26" s="16"/>
    </row>
    <row r="27" customFormat="false" ht="33.75" hidden="false" customHeight="true" outlineLevel="0" collapsed="false">
      <c r="A27" s="18" t="s">
        <v>81</v>
      </c>
      <c r="B27" s="18" t="n">
        <v>1</v>
      </c>
      <c r="C27" s="18" t="s">
        <v>29</v>
      </c>
      <c r="D27" s="18" t="s">
        <v>14</v>
      </c>
      <c r="E27" s="18" t="s">
        <v>106</v>
      </c>
      <c r="F27" s="18" t="s">
        <v>107</v>
      </c>
      <c r="G27" s="18" t="n">
        <v>93</v>
      </c>
      <c r="H27" s="19" t="n">
        <f aca="false">I26+G27/1440+0/1440</f>
        <v>0.460416666666667</v>
      </c>
      <c r="I27" s="19" t="n">
        <f aca="false">H27+20/1440</f>
        <v>0.474305555555556</v>
      </c>
      <c r="J27" s="18" t="s">
        <v>97</v>
      </c>
      <c r="K27" s="20" t="s">
        <v>98</v>
      </c>
    </row>
    <row r="28" customFormat="false" ht="33.75" hidden="false" customHeight="true" outlineLevel="0" collapsed="false">
      <c r="A28" s="18" t="s">
        <v>81</v>
      </c>
      <c r="B28" s="18" t="n">
        <v>2</v>
      </c>
      <c r="C28" s="18" t="s">
        <v>30</v>
      </c>
      <c r="D28" s="18" t="s">
        <v>10</v>
      </c>
      <c r="E28" s="18" t="s">
        <v>108</v>
      </c>
      <c r="F28" s="18" t="s">
        <v>107</v>
      </c>
      <c r="G28" s="18" t="n">
        <v>19</v>
      </c>
      <c r="H28" s="19" t="n">
        <f aca="false">I27+G28/1440+0/1440</f>
        <v>0.4875</v>
      </c>
      <c r="I28" s="19" t="n">
        <f aca="false">H28+20/1440</f>
        <v>0.501388888888889</v>
      </c>
      <c r="J28" s="23" t="s">
        <v>109</v>
      </c>
      <c r="K28" s="20" t="s">
        <v>98</v>
      </c>
    </row>
    <row r="29" customFormat="false" ht="33.75" hidden="false" customHeight="true" outlineLevel="0" collapsed="false">
      <c r="A29" s="21" t="s">
        <v>81</v>
      </c>
      <c r="B29" s="21" t="n">
        <v>3</v>
      </c>
      <c r="C29" s="22" t="s">
        <v>31</v>
      </c>
      <c r="D29" s="18" t="s">
        <v>10</v>
      </c>
      <c r="E29" s="18" t="s">
        <v>110</v>
      </c>
      <c r="F29" s="18" t="s">
        <v>111</v>
      </c>
      <c r="G29" s="18" t="n">
        <v>30</v>
      </c>
      <c r="H29" s="19" t="n">
        <f aca="false">I28+G29/1440+0/1440</f>
        <v>0.522222222222222</v>
      </c>
      <c r="I29" s="19" t="n">
        <f aca="false">H29+20/1440</f>
        <v>0.536111111111111</v>
      </c>
      <c r="J29" s="23" t="s">
        <v>112</v>
      </c>
      <c r="K29" s="20" t="s">
        <v>98</v>
      </c>
    </row>
    <row r="30" customFormat="false" ht="33.75" hidden="false" customHeight="true" outlineLevel="0" collapsed="false">
      <c r="A30" s="18" t="s">
        <v>81</v>
      </c>
      <c r="B30" s="18" t="n">
        <v>4</v>
      </c>
      <c r="C30" s="18" t="s">
        <v>32</v>
      </c>
      <c r="D30" s="18" t="s">
        <v>12</v>
      </c>
      <c r="E30" s="18" t="s">
        <v>113</v>
      </c>
      <c r="F30" s="18" t="s">
        <v>111</v>
      </c>
      <c r="G30" s="18" t="n">
        <v>10</v>
      </c>
      <c r="H30" s="19" t="n">
        <f aca="false">I29+G30/1440+0/1440</f>
        <v>0.543055555555556</v>
      </c>
      <c r="I30" s="19" t="n">
        <f aca="false">H30+20/1440</f>
        <v>0.556944444444445</v>
      </c>
      <c r="J30" s="18" t="s">
        <v>97</v>
      </c>
      <c r="K30" s="20" t="s">
        <v>98</v>
      </c>
    </row>
    <row r="31" customFormat="false" ht="33.75" hidden="false" customHeight="true" outlineLevel="0" collapsed="false">
      <c r="A31" s="21" t="s">
        <v>81</v>
      </c>
      <c r="B31" s="21" t="n">
        <v>5</v>
      </c>
      <c r="C31" s="22" t="s">
        <v>33</v>
      </c>
      <c r="D31" s="18" t="s">
        <v>12</v>
      </c>
      <c r="E31" s="18" t="s">
        <v>114</v>
      </c>
      <c r="F31" s="18" t="s">
        <v>111</v>
      </c>
      <c r="G31" s="18" t="n">
        <v>7</v>
      </c>
      <c r="H31" s="19" t="n">
        <f aca="false">I30+G31/1440+30/1440</f>
        <v>0.582638888888889</v>
      </c>
      <c r="I31" s="19" t="n">
        <f aca="false">H31+20/1440</f>
        <v>0.596527777777778</v>
      </c>
      <c r="J31" s="18" t="s">
        <v>115</v>
      </c>
      <c r="K31" s="20" t="s">
        <v>98</v>
      </c>
    </row>
    <row r="32" customFormat="false" ht="33.75" hidden="false" customHeight="true" outlineLevel="0" collapsed="false">
      <c r="A32" s="18" t="s">
        <v>81</v>
      </c>
      <c r="B32" s="18" t="n">
        <v>6</v>
      </c>
      <c r="C32" s="18" t="s">
        <v>34</v>
      </c>
      <c r="D32" s="18" t="s">
        <v>12</v>
      </c>
      <c r="E32" s="18" t="s">
        <v>116</v>
      </c>
      <c r="F32" s="18" t="s">
        <v>111</v>
      </c>
      <c r="G32" s="18" t="n">
        <v>12</v>
      </c>
      <c r="H32" s="19" t="n">
        <f aca="false">I31+G32/1440+0/1440</f>
        <v>0.604861111111111</v>
      </c>
      <c r="I32" s="19" t="n">
        <f aca="false">H32+20/1440</f>
        <v>0.61875</v>
      </c>
      <c r="J32" s="18" t="s">
        <v>97</v>
      </c>
      <c r="K32" s="20" t="s">
        <v>98</v>
      </c>
    </row>
    <row r="33" customFormat="false" ht="33.75" hidden="false" customHeight="true" outlineLevel="0" collapsed="false">
      <c r="A33" s="21" t="s">
        <v>81</v>
      </c>
      <c r="B33" s="21" t="n">
        <v>7</v>
      </c>
      <c r="C33" s="22" t="s">
        <v>35</v>
      </c>
      <c r="D33" s="18" t="s">
        <v>14</v>
      </c>
      <c r="E33" s="18" t="s">
        <v>117</v>
      </c>
      <c r="F33" s="18" t="s">
        <v>118</v>
      </c>
      <c r="G33" s="18" t="n">
        <v>18</v>
      </c>
      <c r="H33" s="19" t="n">
        <f aca="false">I32+G33/1440+0/1440</f>
        <v>0.63125</v>
      </c>
      <c r="I33" s="19" t="n">
        <f aca="false">H33+20/1440</f>
        <v>0.645138888888889</v>
      </c>
      <c r="J33" s="18" t="s">
        <v>115</v>
      </c>
      <c r="K33" s="20" t="s">
        <v>98</v>
      </c>
    </row>
    <row r="34" customFormat="false" ht="33.75" hidden="false" customHeight="true" outlineLevel="0" collapsed="false">
      <c r="A34" s="18" t="s">
        <v>81</v>
      </c>
      <c r="B34" s="18" t="n">
        <v>8</v>
      </c>
      <c r="C34" s="18" t="s">
        <v>36</v>
      </c>
      <c r="D34" s="18" t="s">
        <v>12</v>
      </c>
      <c r="E34" s="18" t="s">
        <v>119</v>
      </c>
      <c r="F34" s="18" t="s">
        <v>120</v>
      </c>
      <c r="G34" s="18" t="n">
        <v>27</v>
      </c>
      <c r="H34" s="19" t="n">
        <f aca="false">I33+G34/1440+0/1440</f>
        <v>0.663888888888889</v>
      </c>
      <c r="I34" s="19" t="n">
        <f aca="false">H34+20/1440</f>
        <v>0.677777777777778</v>
      </c>
      <c r="J34" s="18" t="s">
        <v>97</v>
      </c>
      <c r="K34" s="20" t="s">
        <v>98</v>
      </c>
    </row>
    <row r="35" customFormat="false" ht="28.35" hidden="false" customHeight="false" outlineLevel="0" collapsed="false">
      <c r="A35" s="16" t="s">
        <v>81</v>
      </c>
      <c r="B35" s="16" t="s">
        <v>104</v>
      </c>
      <c r="C35" s="16" t="s">
        <v>59</v>
      </c>
      <c r="D35" s="16"/>
      <c r="E35" s="16" t="s">
        <v>105</v>
      </c>
      <c r="F35" s="16" t="s">
        <v>93</v>
      </c>
      <c r="G35" s="16" t="n">
        <v>79</v>
      </c>
      <c r="H35" s="17" t="n">
        <f aca="false">I34+G35/1440+0/1440</f>
        <v>0.732638888888889</v>
      </c>
      <c r="I35" s="17" t="n">
        <f aca="false">H35</f>
        <v>0.732638888888889</v>
      </c>
      <c r="J35" s="24" t="str">
        <f aca="false">IF(H35&gt;TIME(17,30,0),"Inclusief lunch van 30 min | LET OP: na 17:30 terug, zie Aandachtspunten","Inclusief lunch van 30 min")</f>
        <v>Inclusief lunch van 30 min | LET OP: na 17:30 terug, zie Aandachtspunten</v>
      </c>
      <c r="K35" s="16"/>
    </row>
    <row r="38" customFormat="false" ht="15.75" hidden="false" customHeight="true" outlineLevel="0" collapsed="false">
      <c r="A38" s="15" t="s">
        <v>121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customFormat="false" ht="28.35" hidden="false" customHeight="false" outlineLevel="0" collapsed="false">
      <c r="A39" s="13" t="s">
        <v>5</v>
      </c>
      <c r="B39" s="13" t="s">
        <v>83</v>
      </c>
      <c r="C39" s="13" t="s">
        <v>3</v>
      </c>
      <c r="D39" s="13" t="s">
        <v>4</v>
      </c>
      <c r="E39" s="13" t="s">
        <v>84</v>
      </c>
      <c r="F39" s="13" t="s">
        <v>85</v>
      </c>
      <c r="G39" s="13" t="s">
        <v>86</v>
      </c>
      <c r="H39" s="13" t="s">
        <v>87</v>
      </c>
      <c r="I39" s="13" t="s">
        <v>88</v>
      </c>
      <c r="J39" s="13" t="s">
        <v>89</v>
      </c>
      <c r="K39" s="13" t="s">
        <v>90</v>
      </c>
    </row>
    <row r="40" customFormat="false" ht="15" hidden="false" customHeight="false" outlineLevel="0" collapsed="false">
      <c r="A40" s="16" t="s">
        <v>80</v>
      </c>
      <c r="B40" s="16" t="s">
        <v>91</v>
      </c>
      <c r="C40" s="16" t="s">
        <v>59</v>
      </c>
      <c r="D40" s="16"/>
      <c r="E40" s="16" t="s">
        <v>92</v>
      </c>
      <c r="F40" s="16" t="s">
        <v>93</v>
      </c>
      <c r="G40" s="16" t="n">
        <v>0</v>
      </c>
      <c r="H40" s="17" t="n">
        <v>0.395833333333333</v>
      </c>
      <c r="I40" s="17" t="n">
        <v>0.395833333333333</v>
      </c>
      <c r="J40" s="16" t="s">
        <v>94</v>
      </c>
      <c r="K40" s="16"/>
    </row>
    <row r="41" customFormat="false" ht="33.75" hidden="false" customHeight="true" outlineLevel="0" collapsed="false">
      <c r="A41" s="21" t="s">
        <v>80</v>
      </c>
      <c r="B41" s="21" t="n">
        <v>1</v>
      </c>
      <c r="C41" s="22" t="s">
        <v>17</v>
      </c>
      <c r="D41" s="18" t="s">
        <v>14</v>
      </c>
      <c r="E41" s="18" t="s">
        <v>122</v>
      </c>
      <c r="F41" s="18" t="s">
        <v>123</v>
      </c>
      <c r="G41" s="18" t="n">
        <v>100</v>
      </c>
      <c r="H41" s="19" t="n">
        <f aca="false">I40+G41/1440+0/1440</f>
        <v>0.465277777777778</v>
      </c>
      <c r="I41" s="19" t="n">
        <f aca="false">H41+20/1440</f>
        <v>0.479166666666667</v>
      </c>
      <c r="J41" s="23" t="s">
        <v>124</v>
      </c>
      <c r="K41" s="20" t="s">
        <v>98</v>
      </c>
    </row>
    <row r="42" customFormat="false" ht="33.75" hidden="false" customHeight="true" outlineLevel="0" collapsed="false">
      <c r="A42" s="18" t="s">
        <v>80</v>
      </c>
      <c r="B42" s="18" t="n">
        <v>2</v>
      </c>
      <c r="C42" s="18" t="s">
        <v>19</v>
      </c>
      <c r="D42" s="18" t="s">
        <v>14</v>
      </c>
      <c r="E42" s="18" t="s">
        <v>125</v>
      </c>
      <c r="F42" s="18" t="s">
        <v>126</v>
      </c>
      <c r="G42" s="18" t="n">
        <v>30</v>
      </c>
      <c r="H42" s="19" t="n">
        <f aca="false">I41+G42/1440+0/1440</f>
        <v>0.5</v>
      </c>
      <c r="I42" s="19" t="n">
        <f aca="false">H42+20/1440</f>
        <v>0.513888888888889</v>
      </c>
      <c r="J42" s="23" t="s">
        <v>127</v>
      </c>
      <c r="K42" s="20" t="s">
        <v>98</v>
      </c>
    </row>
    <row r="43" customFormat="false" ht="33.75" hidden="false" customHeight="true" outlineLevel="0" collapsed="false">
      <c r="A43" s="18" t="s">
        <v>80</v>
      </c>
      <c r="B43" s="18" t="n">
        <v>3</v>
      </c>
      <c r="C43" s="18" t="s">
        <v>20</v>
      </c>
      <c r="D43" s="18" t="s">
        <v>10</v>
      </c>
      <c r="E43" s="18" t="s">
        <v>128</v>
      </c>
      <c r="F43" s="18" t="s">
        <v>126</v>
      </c>
      <c r="G43" s="18" t="n">
        <v>14</v>
      </c>
      <c r="H43" s="19" t="n">
        <f aca="false">I42+G43/1440+0/1440</f>
        <v>0.523611111111111</v>
      </c>
      <c r="I43" s="19" t="n">
        <f aca="false">H43+20/1440</f>
        <v>0.5375</v>
      </c>
      <c r="J43" s="18" t="s">
        <v>97</v>
      </c>
      <c r="K43" s="20" t="s">
        <v>98</v>
      </c>
    </row>
    <row r="44" customFormat="false" ht="33.75" hidden="false" customHeight="true" outlineLevel="0" collapsed="false">
      <c r="A44" s="18" t="s">
        <v>80</v>
      </c>
      <c r="B44" s="18" t="n">
        <v>4</v>
      </c>
      <c r="C44" s="18" t="s">
        <v>21</v>
      </c>
      <c r="D44" s="18" t="s">
        <v>10</v>
      </c>
      <c r="E44" s="18" t="s">
        <v>129</v>
      </c>
      <c r="F44" s="18" t="s">
        <v>130</v>
      </c>
      <c r="G44" s="18" t="n">
        <v>35</v>
      </c>
      <c r="H44" s="19" t="n">
        <f aca="false">I43+G44/1440+0/1440</f>
        <v>0.561805555555556</v>
      </c>
      <c r="I44" s="19" t="n">
        <f aca="false">H44+20/1440</f>
        <v>0.575694444444444</v>
      </c>
      <c r="J44" s="18" t="s">
        <v>97</v>
      </c>
      <c r="K44" s="20" t="s">
        <v>98</v>
      </c>
    </row>
    <row r="45" customFormat="false" ht="33.75" hidden="false" customHeight="true" outlineLevel="0" collapsed="false">
      <c r="A45" s="18" t="s">
        <v>80</v>
      </c>
      <c r="B45" s="18" t="n">
        <v>5</v>
      </c>
      <c r="C45" s="18" t="s">
        <v>22</v>
      </c>
      <c r="D45" s="18" t="s">
        <v>10</v>
      </c>
      <c r="E45" s="18" t="s">
        <v>131</v>
      </c>
      <c r="F45" s="18" t="s">
        <v>132</v>
      </c>
      <c r="G45" s="18" t="n">
        <v>25</v>
      </c>
      <c r="H45" s="19" t="n">
        <f aca="false">I44+G45/1440+30/1440</f>
        <v>0.613888888888889</v>
      </c>
      <c r="I45" s="19" t="n">
        <f aca="false">H45+20/1440</f>
        <v>0.627777777777778</v>
      </c>
      <c r="J45" s="18" t="s">
        <v>97</v>
      </c>
      <c r="K45" s="20" t="s">
        <v>98</v>
      </c>
    </row>
    <row r="46" customFormat="false" ht="33.75" hidden="false" customHeight="true" outlineLevel="0" collapsed="false">
      <c r="A46" s="18" t="s">
        <v>80</v>
      </c>
      <c r="B46" s="18" t="n">
        <v>6</v>
      </c>
      <c r="C46" s="18" t="s">
        <v>23</v>
      </c>
      <c r="D46" s="18" t="s">
        <v>10</v>
      </c>
      <c r="E46" s="18" t="s">
        <v>133</v>
      </c>
      <c r="F46" s="18" t="s">
        <v>134</v>
      </c>
      <c r="G46" s="18" t="n">
        <v>40</v>
      </c>
      <c r="H46" s="19" t="n">
        <f aca="false">I45+G46/1440+0/1440</f>
        <v>0.655555555555556</v>
      </c>
      <c r="I46" s="19" t="n">
        <f aca="false">H46+20/1440</f>
        <v>0.669444444444444</v>
      </c>
      <c r="J46" s="18" t="s">
        <v>97</v>
      </c>
      <c r="K46" s="20" t="s">
        <v>98</v>
      </c>
    </row>
    <row r="47" customFormat="false" ht="28.35" hidden="false" customHeight="false" outlineLevel="0" collapsed="false">
      <c r="A47" s="16" t="s">
        <v>80</v>
      </c>
      <c r="B47" s="16" t="s">
        <v>104</v>
      </c>
      <c r="C47" s="16" t="s">
        <v>59</v>
      </c>
      <c r="D47" s="16"/>
      <c r="E47" s="16" t="s">
        <v>105</v>
      </c>
      <c r="F47" s="16" t="s">
        <v>93</v>
      </c>
      <c r="G47" s="16" t="n">
        <v>112</v>
      </c>
      <c r="H47" s="17" t="n">
        <f aca="false">I46+G47/1440+0/1440</f>
        <v>0.747222222222222</v>
      </c>
      <c r="I47" s="17" t="n">
        <f aca="false">H47</f>
        <v>0.747222222222222</v>
      </c>
      <c r="J47" s="24" t="str">
        <f aca="false">IF(H47&gt;TIME(17,30,0),"Inclusief lunch van 30 min | LET OP: na 17:30 terug, zie Aandachtspunten","Inclusief lunch van 30 min")</f>
        <v>Inclusief lunch van 30 min | LET OP: na 17:30 terug, zie Aandachtspunten</v>
      </c>
      <c r="K47" s="16"/>
    </row>
    <row r="49" customFormat="false" ht="15" hidden="false" customHeight="false" outlineLevel="0" collapsed="false">
      <c r="A49" s="16" t="s">
        <v>81</v>
      </c>
      <c r="B49" s="16" t="s">
        <v>91</v>
      </c>
      <c r="C49" s="16" t="s">
        <v>59</v>
      </c>
      <c r="D49" s="16"/>
      <c r="E49" s="16" t="s">
        <v>92</v>
      </c>
      <c r="F49" s="16" t="s">
        <v>93</v>
      </c>
      <c r="G49" s="16" t="n">
        <v>0</v>
      </c>
      <c r="H49" s="17" t="n">
        <v>0.395833333333333</v>
      </c>
      <c r="I49" s="17" t="n">
        <v>0.395833333333333</v>
      </c>
      <c r="J49" s="16" t="s">
        <v>94</v>
      </c>
      <c r="K49" s="16"/>
    </row>
    <row r="50" customFormat="false" ht="33.75" hidden="false" customHeight="true" outlineLevel="0" collapsed="false">
      <c r="A50" s="21" t="s">
        <v>81</v>
      </c>
      <c r="B50" s="21" t="n">
        <v>1</v>
      </c>
      <c r="C50" s="22" t="s">
        <v>37</v>
      </c>
      <c r="D50" s="18" t="s">
        <v>12</v>
      </c>
      <c r="E50" s="18" t="s">
        <v>135</v>
      </c>
      <c r="F50" s="18" t="s">
        <v>93</v>
      </c>
      <c r="G50" s="18" t="n">
        <v>15</v>
      </c>
      <c r="H50" s="19" t="n">
        <f aca="false">I49+G50/1440+0/1440</f>
        <v>0.40625</v>
      </c>
      <c r="I50" s="19" t="n">
        <f aca="false">H50+20/1440</f>
        <v>0.420138888888889</v>
      </c>
      <c r="J50" s="18" t="s">
        <v>136</v>
      </c>
      <c r="K50" s="20" t="s">
        <v>98</v>
      </c>
    </row>
    <row r="51" customFormat="false" ht="33.75" hidden="false" customHeight="true" outlineLevel="0" collapsed="false">
      <c r="A51" s="21" t="s">
        <v>81</v>
      </c>
      <c r="B51" s="21" t="n">
        <v>2</v>
      </c>
      <c r="C51" s="22" t="s">
        <v>38</v>
      </c>
      <c r="D51" s="18" t="s">
        <v>12</v>
      </c>
      <c r="E51" s="18" t="s">
        <v>137</v>
      </c>
      <c r="F51" s="18" t="s">
        <v>93</v>
      </c>
      <c r="G51" s="18" t="n">
        <v>8</v>
      </c>
      <c r="H51" s="19" t="n">
        <f aca="false">I50+G51/1440+0/1440</f>
        <v>0.425694444444444</v>
      </c>
      <c r="I51" s="19" t="n">
        <f aca="false">H51+20/1440</f>
        <v>0.439583333333333</v>
      </c>
      <c r="J51" s="18" t="s">
        <v>136</v>
      </c>
      <c r="K51" s="20" t="s">
        <v>98</v>
      </c>
    </row>
    <row r="52" customFormat="false" ht="33.75" hidden="false" customHeight="true" outlineLevel="0" collapsed="false">
      <c r="A52" s="21" t="s">
        <v>81</v>
      </c>
      <c r="B52" s="21" t="n">
        <v>3</v>
      </c>
      <c r="C52" s="22" t="s">
        <v>39</v>
      </c>
      <c r="D52" s="18" t="s">
        <v>16</v>
      </c>
      <c r="E52" s="18" t="s">
        <v>138</v>
      </c>
      <c r="F52" s="18" t="s">
        <v>93</v>
      </c>
      <c r="G52" s="18" t="n">
        <v>20</v>
      </c>
      <c r="H52" s="19" t="n">
        <f aca="false">I51+G52/1440+0/1440</f>
        <v>0.453472222222222</v>
      </c>
      <c r="I52" s="19" t="n">
        <f aca="false">H52+20/1440</f>
        <v>0.467361111111111</v>
      </c>
      <c r="J52" s="23" t="s">
        <v>139</v>
      </c>
      <c r="K52" s="20" t="s">
        <v>98</v>
      </c>
    </row>
    <row r="53" customFormat="false" ht="33.75" hidden="false" customHeight="true" outlineLevel="0" collapsed="false">
      <c r="A53" s="18" t="s">
        <v>81</v>
      </c>
      <c r="B53" s="18" t="n">
        <v>4</v>
      </c>
      <c r="C53" s="18" t="s">
        <v>40</v>
      </c>
      <c r="D53" s="18" t="s">
        <v>12</v>
      </c>
      <c r="E53" s="18" t="s">
        <v>140</v>
      </c>
      <c r="F53" s="18" t="s">
        <v>93</v>
      </c>
      <c r="G53" s="18" t="n">
        <v>5</v>
      </c>
      <c r="H53" s="19" t="n">
        <f aca="false">I52+G53/1440+0/1440</f>
        <v>0.470833333333333</v>
      </c>
      <c r="I53" s="19" t="n">
        <f aca="false">H53+20/1440</f>
        <v>0.484722222222222</v>
      </c>
      <c r="J53" s="18" t="s">
        <v>97</v>
      </c>
      <c r="K53" s="20" t="s">
        <v>98</v>
      </c>
    </row>
    <row r="54" customFormat="false" ht="33.75" hidden="false" customHeight="true" outlineLevel="0" collapsed="false">
      <c r="A54" s="18" t="s">
        <v>81</v>
      </c>
      <c r="B54" s="18" t="n">
        <v>5</v>
      </c>
      <c r="C54" s="18" t="s">
        <v>41</v>
      </c>
      <c r="D54" s="18" t="s">
        <v>12</v>
      </c>
      <c r="E54" s="18" t="s">
        <v>141</v>
      </c>
      <c r="F54" s="18" t="s">
        <v>93</v>
      </c>
      <c r="G54" s="18" t="n">
        <v>5</v>
      </c>
      <c r="H54" s="19" t="n">
        <f aca="false">I53+G54/1440+30/1440</f>
        <v>0.509027777777778</v>
      </c>
      <c r="I54" s="19" t="n">
        <f aca="false">H54+20/1440</f>
        <v>0.522916666666667</v>
      </c>
      <c r="J54" s="18" t="s">
        <v>97</v>
      </c>
      <c r="K54" s="20" t="s">
        <v>98</v>
      </c>
    </row>
    <row r="55" customFormat="false" ht="33.75" hidden="false" customHeight="true" outlineLevel="0" collapsed="false">
      <c r="A55" s="18" t="s">
        <v>81</v>
      </c>
      <c r="B55" s="18" t="n">
        <v>6</v>
      </c>
      <c r="C55" s="18" t="s">
        <v>42</v>
      </c>
      <c r="D55" s="18" t="s">
        <v>12</v>
      </c>
      <c r="E55" s="18" t="s">
        <v>142</v>
      </c>
      <c r="F55" s="18" t="s">
        <v>93</v>
      </c>
      <c r="G55" s="18" t="n">
        <v>4</v>
      </c>
      <c r="H55" s="19" t="n">
        <f aca="false">I54+G55/1440+0/1440</f>
        <v>0.525694444444445</v>
      </c>
      <c r="I55" s="19" t="n">
        <f aca="false">H55+20/1440</f>
        <v>0.539583333333333</v>
      </c>
      <c r="J55" s="18" t="s">
        <v>97</v>
      </c>
      <c r="K55" s="20" t="s">
        <v>98</v>
      </c>
    </row>
    <row r="56" customFormat="false" ht="33.75" hidden="false" customHeight="true" outlineLevel="0" collapsed="false">
      <c r="A56" s="18" t="s">
        <v>81</v>
      </c>
      <c r="B56" s="18" t="n">
        <v>7</v>
      </c>
      <c r="C56" s="18" t="s">
        <v>43</v>
      </c>
      <c r="D56" s="18" t="s">
        <v>12</v>
      </c>
      <c r="E56" s="18" t="s">
        <v>143</v>
      </c>
      <c r="F56" s="18" t="s">
        <v>93</v>
      </c>
      <c r="G56" s="18" t="n">
        <v>25</v>
      </c>
      <c r="H56" s="19" t="n">
        <f aca="false">I55+G56/1440+0/1440</f>
        <v>0.556944444444445</v>
      </c>
      <c r="I56" s="19" t="n">
        <f aca="false">H56+20/1440</f>
        <v>0.570833333333333</v>
      </c>
      <c r="J56" s="18" t="s">
        <v>97</v>
      </c>
      <c r="K56" s="20" t="s">
        <v>98</v>
      </c>
    </row>
    <row r="57" customFormat="false" ht="33.75" hidden="false" customHeight="true" outlineLevel="0" collapsed="false">
      <c r="A57" s="18" t="s">
        <v>81</v>
      </c>
      <c r="B57" s="18" t="n">
        <v>8</v>
      </c>
      <c r="C57" s="18" t="s">
        <v>44</v>
      </c>
      <c r="D57" s="18" t="s">
        <v>12</v>
      </c>
      <c r="E57" s="18" t="s">
        <v>144</v>
      </c>
      <c r="F57" s="18" t="s">
        <v>93</v>
      </c>
      <c r="G57" s="18" t="n">
        <v>22</v>
      </c>
      <c r="H57" s="19" t="n">
        <f aca="false">I56+G57/1440+0/1440</f>
        <v>0.586111111111111</v>
      </c>
      <c r="I57" s="19" t="n">
        <f aca="false">H57+20/1440</f>
        <v>0.6</v>
      </c>
      <c r="J57" s="18" t="s">
        <v>97</v>
      </c>
      <c r="K57" s="20" t="s">
        <v>98</v>
      </c>
    </row>
    <row r="58" customFormat="false" ht="33.75" hidden="false" customHeight="true" outlineLevel="0" collapsed="false">
      <c r="A58" s="18" t="s">
        <v>81</v>
      </c>
      <c r="B58" s="18" t="n">
        <v>9</v>
      </c>
      <c r="C58" s="18" t="s">
        <v>45</v>
      </c>
      <c r="D58" s="18" t="s">
        <v>12</v>
      </c>
      <c r="E58" s="18" t="s">
        <v>145</v>
      </c>
      <c r="F58" s="18" t="s">
        <v>146</v>
      </c>
      <c r="G58" s="18" t="n">
        <v>17</v>
      </c>
      <c r="H58" s="19" t="n">
        <f aca="false">I57+G58/1440+0/1440</f>
        <v>0.611805555555556</v>
      </c>
      <c r="I58" s="19" t="n">
        <f aca="false">H58+20/1440</f>
        <v>0.625694444444444</v>
      </c>
      <c r="J58" s="18" t="s">
        <v>97</v>
      </c>
      <c r="K58" s="20" t="s">
        <v>98</v>
      </c>
    </row>
    <row r="59" customFormat="false" ht="33.75" hidden="false" customHeight="true" outlineLevel="0" collapsed="false">
      <c r="A59" s="18" t="s">
        <v>81</v>
      </c>
      <c r="B59" s="18" t="n">
        <v>10</v>
      </c>
      <c r="C59" s="18" t="s">
        <v>46</v>
      </c>
      <c r="D59" s="18" t="s">
        <v>12</v>
      </c>
      <c r="E59" s="18" t="s">
        <v>147</v>
      </c>
      <c r="F59" s="18" t="s">
        <v>148</v>
      </c>
      <c r="G59" s="18" t="n">
        <v>31</v>
      </c>
      <c r="H59" s="19" t="n">
        <f aca="false">I58+G59/1440+0/1440</f>
        <v>0.647222222222222</v>
      </c>
      <c r="I59" s="19" t="n">
        <f aca="false">H59+20/1440</f>
        <v>0.661111111111111</v>
      </c>
      <c r="J59" s="18" t="s">
        <v>97</v>
      </c>
      <c r="K59" s="20" t="s">
        <v>98</v>
      </c>
    </row>
    <row r="60" customFormat="false" ht="15" hidden="false" customHeight="false" outlineLevel="0" collapsed="false">
      <c r="A60" s="16" t="s">
        <v>81</v>
      </c>
      <c r="B60" s="16" t="s">
        <v>104</v>
      </c>
      <c r="C60" s="16" t="s">
        <v>59</v>
      </c>
      <c r="D60" s="16"/>
      <c r="E60" s="16" t="s">
        <v>105</v>
      </c>
      <c r="F60" s="16" t="s">
        <v>93</v>
      </c>
      <c r="G60" s="16" t="n">
        <v>38</v>
      </c>
      <c r="H60" s="17" t="n">
        <f aca="false">I59+G60/1440+0/1440</f>
        <v>0.6875</v>
      </c>
      <c r="I60" s="17" t="n">
        <f aca="false">H60</f>
        <v>0.6875</v>
      </c>
      <c r="J60" s="24" t="str">
        <f aca="false">IF(H60&gt;TIME(17,30,0),"Inclusief lunch van 30 min | LET OP: na 17:30 terug, zie Aandachtspunten","Inclusief lunch van 30 min")</f>
        <v>Inclusief lunch van 30 min</v>
      </c>
      <c r="K60" s="16"/>
    </row>
    <row r="63" customFormat="false" ht="15.75" hidden="false" customHeight="true" outlineLevel="0" collapsed="false">
      <c r="A63" s="15" t="s">
        <v>149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customFormat="false" ht="28.35" hidden="false" customHeight="false" outlineLevel="0" collapsed="false">
      <c r="A64" s="13" t="s">
        <v>5</v>
      </c>
      <c r="B64" s="13" t="s">
        <v>83</v>
      </c>
      <c r="C64" s="13" t="s">
        <v>3</v>
      </c>
      <c r="D64" s="13" t="s">
        <v>4</v>
      </c>
      <c r="E64" s="13" t="s">
        <v>84</v>
      </c>
      <c r="F64" s="13" t="s">
        <v>85</v>
      </c>
      <c r="G64" s="13" t="s">
        <v>86</v>
      </c>
      <c r="H64" s="13" t="s">
        <v>87</v>
      </c>
      <c r="I64" s="13" t="s">
        <v>88</v>
      </c>
      <c r="J64" s="13" t="s">
        <v>89</v>
      </c>
      <c r="K64" s="13" t="s">
        <v>90</v>
      </c>
    </row>
    <row r="65" customFormat="false" ht="15" hidden="false" customHeight="false" outlineLevel="0" collapsed="false">
      <c r="A65" s="16" t="s">
        <v>80</v>
      </c>
      <c r="B65" s="16" t="s">
        <v>91</v>
      </c>
      <c r="C65" s="16" t="s">
        <v>59</v>
      </c>
      <c r="D65" s="16"/>
      <c r="E65" s="16" t="s">
        <v>92</v>
      </c>
      <c r="F65" s="16" t="s">
        <v>93</v>
      </c>
      <c r="G65" s="16" t="n">
        <v>0</v>
      </c>
      <c r="H65" s="17" t="n">
        <v>0.395833333333333</v>
      </c>
      <c r="I65" s="17" t="n">
        <v>0.395833333333333</v>
      </c>
      <c r="J65" s="16" t="s">
        <v>94</v>
      </c>
      <c r="K65" s="16"/>
    </row>
    <row r="66" customFormat="false" ht="33.75" hidden="false" customHeight="true" outlineLevel="0" collapsed="false">
      <c r="A66" s="18" t="s">
        <v>80</v>
      </c>
      <c r="B66" s="18" t="n">
        <v>1</v>
      </c>
      <c r="C66" s="18" t="s">
        <v>24</v>
      </c>
      <c r="D66" s="18" t="s">
        <v>14</v>
      </c>
      <c r="E66" s="18" t="s">
        <v>150</v>
      </c>
      <c r="F66" s="18" t="s">
        <v>151</v>
      </c>
      <c r="G66" s="18" t="n">
        <v>132</v>
      </c>
      <c r="H66" s="19" t="n">
        <f aca="false">I65+G66/1440+0/1440</f>
        <v>0.4875</v>
      </c>
      <c r="I66" s="19" t="n">
        <f aca="false">H66+20/1440</f>
        <v>0.501388888888889</v>
      </c>
      <c r="J66" s="23" t="s">
        <v>127</v>
      </c>
      <c r="K66" s="20" t="s">
        <v>98</v>
      </c>
    </row>
    <row r="67" customFormat="false" ht="33.75" hidden="false" customHeight="true" outlineLevel="0" collapsed="false">
      <c r="A67" s="18" t="s">
        <v>80</v>
      </c>
      <c r="B67" s="18" t="n">
        <v>2</v>
      </c>
      <c r="C67" s="18" t="s">
        <v>25</v>
      </c>
      <c r="D67" s="18" t="s">
        <v>10</v>
      </c>
      <c r="E67" s="18" t="s">
        <v>152</v>
      </c>
      <c r="F67" s="18" t="s">
        <v>153</v>
      </c>
      <c r="G67" s="18" t="n">
        <v>97</v>
      </c>
      <c r="H67" s="19" t="n">
        <f aca="false">I66+G67/1440+0/1440</f>
        <v>0.56875</v>
      </c>
      <c r="I67" s="19" t="n">
        <f aca="false">H67+20/1440</f>
        <v>0.582638888888889</v>
      </c>
      <c r="J67" s="18" t="s">
        <v>97</v>
      </c>
      <c r="K67" s="20" t="s">
        <v>98</v>
      </c>
    </row>
    <row r="68" customFormat="false" ht="33.75" hidden="false" customHeight="true" outlineLevel="0" collapsed="false">
      <c r="A68" s="18" t="s">
        <v>80</v>
      </c>
      <c r="B68" s="18" t="n">
        <v>3</v>
      </c>
      <c r="C68" s="18" t="s">
        <v>26</v>
      </c>
      <c r="D68" s="18" t="s">
        <v>14</v>
      </c>
      <c r="E68" s="18" t="s">
        <v>154</v>
      </c>
      <c r="F68" s="18" t="s">
        <v>153</v>
      </c>
      <c r="G68" s="18" t="n">
        <v>5</v>
      </c>
      <c r="H68" s="19" t="n">
        <f aca="false">I67+G68/1440+0/1440</f>
        <v>0.586111111111111</v>
      </c>
      <c r="I68" s="19" t="n">
        <f aca="false">H68+20/1440</f>
        <v>0.6</v>
      </c>
      <c r="J68" s="23" t="s">
        <v>127</v>
      </c>
      <c r="K68" s="20" t="s">
        <v>98</v>
      </c>
    </row>
    <row r="69" customFormat="false" ht="33.75" hidden="false" customHeight="true" outlineLevel="0" collapsed="false">
      <c r="A69" s="18" t="s">
        <v>80</v>
      </c>
      <c r="B69" s="18" t="n">
        <v>4</v>
      </c>
      <c r="C69" s="18" t="s">
        <v>27</v>
      </c>
      <c r="D69" s="18" t="s">
        <v>10</v>
      </c>
      <c r="E69" s="18" t="s">
        <v>155</v>
      </c>
      <c r="F69" s="18" t="s">
        <v>93</v>
      </c>
      <c r="G69" s="18" t="n">
        <v>39</v>
      </c>
      <c r="H69" s="19" t="n">
        <f aca="false">I68+G69/1440+0/1440</f>
        <v>0.627083333333333</v>
      </c>
      <c r="I69" s="19" t="n">
        <f aca="false">H69+20/1440</f>
        <v>0.640972222222222</v>
      </c>
      <c r="J69" s="18" t="s">
        <v>97</v>
      </c>
      <c r="K69" s="20" t="s">
        <v>98</v>
      </c>
    </row>
    <row r="70" customFormat="false" ht="33.75" hidden="false" customHeight="true" outlineLevel="0" collapsed="false">
      <c r="A70" s="18" t="s">
        <v>80</v>
      </c>
      <c r="B70" s="18" t="n">
        <v>5</v>
      </c>
      <c r="C70" s="18" t="s">
        <v>28</v>
      </c>
      <c r="D70" s="18" t="s">
        <v>10</v>
      </c>
      <c r="E70" s="18" t="s">
        <v>156</v>
      </c>
      <c r="F70" s="18" t="s">
        <v>93</v>
      </c>
      <c r="G70" s="18" t="n">
        <v>29</v>
      </c>
      <c r="H70" s="19" t="n">
        <f aca="false">I69+G70/1440+30/1440</f>
        <v>0.681944444444445</v>
      </c>
      <c r="I70" s="19" t="n">
        <f aca="false">H70+20/1440</f>
        <v>0.695833333333333</v>
      </c>
      <c r="J70" s="18" t="s">
        <v>97</v>
      </c>
      <c r="K70" s="20" t="s">
        <v>98</v>
      </c>
    </row>
    <row r="71" customFormat="false" ht="15" hidden="false" customHeight="false" outlineLevel="0" collapsed="false">
      <c r="A71" s="16" t="s">
        <v>80</v>
      </c>
      <c r="B71" s="16" t="s">
        <v>104</v>
      </c>
      <c r="C71" s="16" t="s">
        <v>59</v>
      </c>
      <c r="D71" s="16"/>
      <c r="E71" s="16" t="s">
        <v>105</v>
      </c>
      <c r="F71" s="16" t="s">
        <v>93</v>
      </c>
      <c r="G71" s="16" t="n">
        <v>26</v>
      </c>
      <c r="H71" s="17" t="n">
        <f aca="false">I70+G71/1440+0/1440</f>
        <v>0.713888888888889</v>
      </c>
      <c r="I71" s="17" t="n">
        <f aca="false">H71</f>
        <v>0.713888888888889</v>
      </c>
      <c r="J71" s="24" t="str">
        <f aca="false">IF(H71&gt;TIME(17,30,0),"Inclusief lunch van 30 min | LET OP: na 17:30 terug, zie Aandachtspunten","Inclusief lunch van 30 min")</f>
        <v>Inclusief lunch van 30 min</v>
      </c>
      <c r="K71" s="16"/>
    </row>
    <row r="73" customFormat="false" ht="15" hidden="false" customHeight="false" outlineLevel="0" collapsed="false">
      <c r="A73" s="16" t="s">
        <v>81</v>
      </c>
      <c r="B73" s="16" t="s">
        <v>91</v>
      </c>
      <c r="C73" s="16" t="s">
        <v>59</v>
      </c>
      <c r="D73" s="16"/>
      <c r="E73" s="16" t="s">
        <v>92</v>
      </c>
      <c r="F73" s="16" t="s">
        <v>93</v>
      </c>
      <c r="G73" s="16" t="n">
        <v>0</v>
      </c>
      <c r="H73" s="17" t="n">
        <v>0.395833333333333</v>
      </c>
      <c r="I73" s="17" t="n">
        <v>0.395833333333333</v>
      </c>
      <c r="J73" s="16" t="s">
        <v>94</v>
      </c>
      <c r="K73" s="16"/>
    </row>
    <row r="74" customFormat="false" ht="33.75" hidden="false" customHeight="true" outlineLevel="0" collapsed="false">
      <c r="A74" s="21" t="s">
        <v>81</v>
      </c>
      <c r="B74" s="21" t="n">
        <v>1</v>
      </c>
      <c r="C74" s="22" t="s">
        <v>47</v>
      </c>
      <c r="D74" s="18" t="s">
        <v>12</v>
      </c>
      <c r="E74" s="18" t="s">
        <v>157</v>
      </c>
      <c r="F74" s="18" t="s">
        <v>93</v>
      </c>
      <c r="G74" s="18" t="n">
        <v>20</v>
      </c>
      <c r="H74" s="19" t="n">
        <f aca="false">I73+G74/1440+0/1440</f>
        <v>0.409722222222222</v>
      </c>
      <c r="I74" s="19" t="n">
        <f aca="false">H74+20/1440</f>
        <v>0.423611111111111</v>
      </c>
      <c r="J74" s="18" t="s">
        <v>136</v>
      </c>
      <c r="K74" s="20" t="s">
        <v>98</v>
      </c>
    </row>
    <row r="75" customFormat="false" ht="33.75" hidden="false" customHeight="true" outlineLevel="0" collapsed="false">
      <c r="A75" s="18" t="s">
        <v>81</v>
      </c>
      <c r="B75" s="18" t="n">
        <v>2</v>
      </c>
      <c r="C75" s="18" t="s">
        <v>48</v>
      </c>
      <c r="D75" s="18" t="s">
        <v>10</v>
      </c>
      <c r="E75" s="18" t="s">
        <v>158</v>
      </c>
      <c r="F75" s="18" t="s">
        <v>93</v>
      </c>
      <c r="G75" s="18" t="n">
        <v>8</v>
      </c>
      <c r="H75" s="19" t="n">
        <f aca="false">I74+G75/1440+0/1440</f>
        <v>0.429166666666667</v>
      </c>
      <c r="I75" s="19" t="n">
        <f aca="false">H75+20/1440</f>
        <v>0.443055555555556</v>
      </c>
      <c r="J75" s="23" t="s">
        <v>109</v>
      </c>
      <c r="K75" s="20" t="s">
        <v>98</v>
      </c>
    </row>
    <row r="76" customFormat="false" ht="33.75" hidden="false" customHeight="true" outlineLevel="0" collapsed="false">
      <c r="A76" s="18" t="s">
        <v>81</v>
      </c>
      <c r="B76" s="18" t="n">
        <v>3</v>
      </c>
      <c r="C76" s="18" t="s">
        <v>49</v>
      </c>
      <c r="D76" s="18" t="s">
        <v>12</v>
      </c>
      <c r="E76" s="18" t="s">
        <v>159</v>
      </c>
      <c r="F76" s="18" t="s">
        <v>93</v>
      </c>
      <c r="G76" s="18" t="n">
        <v>9</v>
      </c>
      <c r="H76" s="19" t="n">
        <f aca="false">I75+G76/1440+0/1440</f>
        <v>0.449305555555556</v>
      </c>
      <c r="I76" s="19" t="n">
        <f aca="false">H76+20/1440</f>
        <v>0.463194444444444</v>
      </c>
      <c r="J76" s="18" t="s">
        <v>97</v>
      </c>
      <c r="K76" s="20" t="s">
        <v>98</v>
      </c>
    </row>
    <row r="77" customFormat="false" ht="33.75" hidden="false" customHeight="true" outlineLevel="0" collapsed="false">
      <c r="A77" s="18" t="s">
        <v>81</v>
      </c>
      <c r="B77" s="18" t="n">
        <v>4</v>
      </c>
      <c r="C77" s="18" t="s">
        <v>50</v>
      </c>
      <c r="D77" s="18" t="s">
        <v>12</v>
      </c>
      <c r="E77" s="18" t="s">
        <v>160</v>
      </c>
      <c r="F77" s="18" t="s">
        <v>93</v>
      </c>
      <c r="G77" s="18" t="n">
        <v>10</v>
      </c>
      <c r="H77" s="19" t="n">
        <f aca="false">I76+G77/1440+0/1440</f>
        <v>0.470138888888889</v>
      </c>
      <c r="I77" s="19" t="n">
        <f aca="false">H77+20/1440</f>
        <v>0.484027777777778</v>
      </c>
      <c r="J77" s="18" t="s">
        <v>97</v>
      </c>
      <c r="K77" s="20" t="s">
        <v>98</v>
      </c>
    </row>
    <row r="78" customFormat="false" ht="33.75" hidden="false" customHeight="true" outlineLevel="0" collapsed="false">
      <c r="A78" s="18" t="s">
        <v>81</v>
      </c>
      <c r="B78" s="18" t="n">
        <v>5</v>
      </c>
      <c r="C78" s="18" t="s">
        <v>51</v>
      </c>
      <c r="D78" s="18" t="s">
        <v>10</v>
      </c>
      <c r="E78" s="18" t="s">
        <v>161</v>
      </c>
      <c r="F78" s="18" t="s">
        <v>93</v>
      </c>
      <c r="G78" s="18" t="n">
        <v>10</v>
      </c>
      <c r="H78" s="19" t="n">
        <f aca="false">I77+G78/1440+30/1440</f>
        <v>0.511805555555556</v>
      </c>
      <c r="I78" s="19" t="n">
        <f aca="false">H78+20/1440</f>
        <v>0.525694444444445</v>
      </c>
      <c r="J78" s="23" t="s">
        <v>109</v>
      </c>
      <c r="K78" s="20" t="s">
        <v>98</v>
      </c>
    </row>
    <row r="79" customFormat="false" ht="33.75" hidden="false" customHeight="true" outlineLevel="0" collapsed="false">
      <c r="A79" s="21" t="s">
        <v>81</v>
      </c>
      <c r="B79" s="21" t="n">
        <v>6</v>
      </c>
      <c r="C79" s="22" t="s">
        <v>52</v>
      </c>
      <c r="D79" s="18" t="s">
        <v>10</v>
      </c>
      <c r="E79" s="18" t="s">
        <v>162</v>
      </c>
      <c r="F79" s="18" t="s">
        <v>93</v>
      </c>
      <c r="G79" s="18" t="n">
        <v>10</v>
      </c>
      <c r="H79" s="19" t="n">
        <f aca="false">I78+G79/1440+0/1440</f>
        <v>0.532638888888889</v>
      </c>
      <c r="I79" s="19" t="n">
        <f aca="false">H79+20/1440</f>
        <v>0.546527777777778</v>
      </c>
      <c r="J79" s="23" t="s">
        <v>163</v>
      </c>
      <c r="K79" s="20" t="s">
        <v>98</v>
      </c>
    </row>
    <row r="80" customFormat="false" ht="33.75" hidden="false" customHeight="true" outlineLevel="0" collapsed="false">
      <c r="A80" s="18" t="s">
        <v>81</v>
      </c>
      <c r="B80" s="18" t="n">
        <v>7</v>
      </c>
      <c r="C80" s="18" t="s">
        <v>53</v>
      </c>
      <c r="D80" s="18" t="s">
        <v>12</v>
      </c>
      <c r="E80" s="18" t="s">
        <v>164</v>
      </c>
      <c r="F80" s="18" t="s">
        <v>93</v>
      </c>
      <c r="G80" s="18" t="n">
        <v>10</v>
      </c>
      <c r="H80" s="19" t="n">
        <f aca="false">I79+G80/1440+0/1440</f>
        <v>0.553472222222222</v>
      </c>
      <c r="I80" s="19" t="n">
        <f aca="false">H80+20/1440</f>
        <v>0.567361111111111</v>
      </c>
      <c r="J80" s="18" t="s">
        <v>97</v>
      </c>
      <c r="K80" s="20" t="s">
        <v>98</v>
      </c>
    </row>
    <row r="81" customFormat="false" ht="33.75" hidden="false" customHeight="true" outlineLevel="0" collapsed="false">
      <c r="A81" s="21" t="s">
        <v>81</v>
      </c>
      <c r="B81" s="21" t="n">
        <v>8</v>
      </c>
      <c r="C81" s="22" t="s">
        <v>54</v>
      </c>
      <c r="D81" s="18" t="s">
        <v>16</v>
      </c>
      <c r="E81" s="18" t="s">
        <v>165</v>
      </c>
      <c r="F81" s="18" t="s">
        <v>93</v>
      </c>
      <c r="G81" s="18" t="n">
        <v>8</v>
      </c>
      <c r="H81" s="19" t="n">
        <f aca="false">I80+G81/1440+0/1440</f>
        <v>0.572916666666667</v>
      </c>
      <c r="I81" s="19" t="n">
        <f aca="false">H81+20/1440</f>
        <v>0.586805555555556</v>
      </c>
      <c r="J81" s="23" t="s">
        <v>139</v>
      </c>
      <c r="K81" s="20" t="s">
        <v>98</v>
      </c>
    </row>
    <row r="82" customFormat="false" ht="33.75" hidden="false" customHeight="true" outlineLevel="0" collapsed="false">
      <c r="A82" s="21" t="s">
        <v>81</v>
      </c>
      <c r="B82" s="21" t="n">
        <v>9</v>
      </c>
      <c r="C82" s="22" t="s">
        <v>55</v>
      </c>
      <c r="D82" s="18" t="s">
        <v>12</v>
      </c>
      <c r="E82" s="18" t="s">
        <v>166</v>
      </c>
      <c r="F82" s="18" t="s">
        <v>167</v>
      </c>
      <c r="G82" s="18" t="n">
        <v>20</v>
      </c>
      <c r="H82" s="19" t="n">
        <f aca="false">I81+G82/1440+0/1440</f>
        <v>0.600694444444444</v>
      </c>
      <c r="I82" s="19" t="n">
        <f aca="false">H82+20/1440</f>
        <v>0.614583333333333</v>
      </c>
      <c r="J82" s="18" t="s">
        <v>168</v>
      </c>
      <c r="K82" s="20" t="s">
        <v>98</v>
      </c>
    </row>
    <row r="83" customFormat="false" ht="33.75" hidden="false" customHeight="true" outlineLevel="0" collapsed="false">
      <c r="A83" s="18" t="s">
        <v>81</v>
      </c>
      <c r="B83" s="18" t="n">
        <v>10</v>
      </c>
      <c r="C83" s="18" t="s">
        <v>56</v>
      </c>
      <c r="D83" s="18" t="s">
        <v>14</v>
      </c>
      <c r="E83" s="18" t="s">
        <v>169</v>
      </c>
      <c r="F83" s="18" t="s">
        <v>170</v>
      </c>
      <c r="G83" s="18" t="n">
        <v>30</v>
      </c>
      <c r="H83" s="19" t="n">
        <f aca="false">I82+G83/1440+0/1440</f>
        <v>0.635416666666667</v>
      </c>
      <c r="I83" s="19" t="n">
        <f aca="false">H83+20/1440</f>
        <v>0.649305555555556</v>
      </c>
      <c r="J83" s="18" t="s">
        <v>97</v>
      </c>
      <c r="K83" s="20" t="s">
        <v>98</v>
      </c>
    </row>
    <row r="84" customFormat="false" ht="15" hidden="false" customHeight="false" outlineLevel="0" collapsed="false">
      <c r="A84" s="16" t="s">
        <v>81</v>
      </c>
      <c r="B84" s="16" t="s">
        <v>104</v>
      </c>
      <c r="C84" s="16" t="s">
        <v>59</v>
      </c>
      <c r="D84" s="16"/>
      <c r="E84" s="16" t="s">
        <v>105</v>
      </c>
      <c r="F84" s="16" t="s">
        <v>93</v>
      </c>
      <c r="G84" s="16" t="n">
        <v>44</v>
      </c>
      <c r="H84" s="17" t="n">
        <f aca="false">I83+G84/1440+0/1440</f>
        <v>0.679861111111111</v>
      </c>
      <c r="I84" s="17" t="n">
        <f aca="false">H84</f>
        <v>0.679861111111111</v>
      </c>
      <c r="J84" s="24" t="str">
        <f aca="false">IF(H84&gt;TIME(17,30,0),"Inclusief lunch van 30 min | LET OP: na 17:30 terug, zie Aandachtspunten","Inclusief lunch van 30 min")</f>
        <v>Inclusief lunch van 30 min</v>
      </c>
      <c r="K84" s="16"/>
    </row>
    <row r="87" customFormat="false" ht="15" hidden="false" customHeight="false" outlineLevel="0" collapsed="false">
      <c r="A87" s="15" t="s">
        <v>171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customFormat="false" ht="15" hidden="false" customHeight="false" outlineLevel="0" collapsed="false">
      <c r="A88" s="13" t="s">
        <v>172</v>
      </c>
      <c r="B88" s="13" t="s">
        <v>173</v>
      </c>
      <c r="C88" s="13" t="s">
        <v>3</v>
      </c>
      <c r="D88" s="13" t="s">
        <v>4</v>
      </c>
      <c r="E88" s="13" t="s">
        <v>174</v>
      </c>
      <c r="F88" s="13" t="s">
        <v>85</v>
      </c>
      <c r="G88" s="13" t="s">
        <v>175</v>
      </c>
      <c r="H88" s="13" t="s">
        <v>87</v>
      </c>
      <c r="I88" s="13"/>
      <c r="J88" s="13" t="s">
        <v>176</v>
      </c>
    </row>
    <row r="89" customFormat="false" ht="15" hidden="false" customHeight="false" outlineLevel="0" collapsed="false">
      <c r="A89" s="18" t="s">
        <v>80</v>
      </c>
      <c r="B89" s="18" t="n">
        <v>1</v>
      </c>
      <c r="C89" s="21" t="s">
        <v>15</v>
      </c>
      <c r="D89" s="18" t="s">
        <v>12</v>
      </c>
      <c r="E89" s="18" t="s">
        <v>177</v>
      </c>
      <c r="F89" s="18" t="s">
        <v>93</v>
      </c>
      <c r="G89" s="18" t="n">
        <f aca="false">B23</f>
        <v>4</v>
      </c>
      <c r="H89" s="19" t="n">
        <f aca="false">H23</f>
        <v>0.650694444444445</v>
      </c>
      <c r="I89" s="18"/>
      <c r="J89" s="18" t="s">
        <v>178</v>
      </c>
    </row>
    <row r="90" customFormat="false" ht="28.35" hidden="false" customHeight="false" outlineLevel="0" collapsed="false">
      <c r="A90" s="18" t="s">
        <v>80</v>
      </c>
      <c r="B90" s="18" t="n">
        <v>2</v>
      </c>
      <c r="C90" s="21" t="s">
        <v>17</v>
      </c>
      <c r="D90" s="18" t="s">
        <v>14</v>
      </c>
      <c r="E90" s="18" t="s">
        <v>179</v>
      </c>
      <c r="F90" s="18" t="s">
        <v>123</v>
      </c>
      <c r="G90" s="18" t="n">
        <f aca="false">B41</f>
        <v>1</v>
      </c>
      <c r="H90" s="19" t="n">
        <f aca="false">H41</f>
        <v>0.465277777777778</v>
      </c>
      <c r="I90" s="18"/>
      <c r="J90" s="18" t="s">
        <v>180</v>
      </c>
    </row>
    <row r="91" customFormat="false" ht="28.35" hidden="false" customHeight="false" outlineLevel="0" collapsed="false">
      <c r="A91" s="18" t="s">
        <v>81</v>
      </c>
      <c r="B91" s="18" t="n">
        <v>1</v>
      </c>
      <c r="C91" s="21" t="s">
        <v>31</v>
      </c>
      <c r="D91" s="18" t="s">
        <v>10</v>
      </c>
      <c r="E91" s="18" t="s">
        <v>181</v>
      </c>
      <c r="F91" s="18" t="s">
        <v>111</v>
      </c>
      <c r="G91" s="18" t="n">
        <f aca="false">B29</f>
        <v>3</v>
      </c>
      <c r="H91" s="19" t="n">
        <f aca="false">H29</f>
        <v>0.522222222222222</v>
      </c>
      <c r="I91" s="18"/>
      <c r="J91" s="18" t="s">
        <v>182</v>
      </c>
    </row>
    <row r="92" customFormat="false" ht="28.35" hidden="false" customHeight="false" outlineLevel="0" collapsed="false">
      <c r="A92" s="18" t="s">
        <v>81</v>
      </c>
      <c r="B92" s="18" t="n">
        <v>1</v>
      </c>
      <c r="C92" s="21" t="s">
        <v>33</v>
      </c>
      <c r="D92" s="18" t="s">
        <v>12</v>
      </c>
      <c r="E92" s="18" t="s">
        <v>181</v>
      </c>
      <c r="F92" s="18" t="s">
        <v>111</v>
      </c>
      <c r="G92" s="18" t="n">
        <f aca="false">B31</f>
        <v>5</v>
      </c>
      <c r="H92" s="19" t="n">
        <f aca="false">H31</f>
        <v>0.582638888888889</v>
      </c>
      <c r="I92" s="18"/>
      <c r="J92" s="18" t="s">
        <v>182</v>
      </c>
    </row>
    <row r="93" customFormat="false" ht="15" hidden="false" customHeight="false" outlineLevel="0" collapsed="false">
      <c r="A93" s="18" t="s">
        <v>81</v>
      </c>
      <c r="B93" s="18" t="n">
        <v>1</v>
      </c>
      <c r="C93" s="21" t="s">
        <v>35</v>
      </c>
      <c r="D93" s="18" t="s">
        <v>14</v>
      </c>
      <c r="E93" s="18" t="s">
        <v>181</v>
      </c>
      <c r="F93" s="18" t="s">
        <v>118</v>
      </c>
      <c r="G93" s="18" t="n">
        <f aca="false">B33</f>
        <v>7</v>
      </c>
      <c r="H93" s="19" t="n">
        <f aca="false">H33</f>
        <v>0.63125</v>
      </c>
      <c r="I93" s="18"/>
      <c r="J93" s="18" t="s">
        <v>183</v>
      </c>
    </row>
    <row r="94" customFormat="false" ht="15" hidden="false" customHeight="false" outlineLevel="0" collapsed="false">
      <c r="A94" s="18" t="s">
        <v>81</v>
      </c>
      <c r="B94" s="18" t="n">
        <v>2</v>
      </c>
      <c r="C94" s="21" t="s">
        <v>37</v>
      </c>
      <c r="D94" s="18" t="s">
        <v>12</v>
      </c>
      <c r="E94" s="18" t="s">
        <v>177</v>
      </c>
      <c r="F94" s="18" t="s">
        <v>93</v>
      </c>
      <c r="G94" s="18" t="n">
        <f aca="false">B50</f>
        <v>1</v>
      </c>
      <c r="H94" s="19" t="n">
        <f aca="false">H50</f>
        <v>0.40625</v>
      </c>
      <c r="I94" s="18"/>
      <c r="J94" s="18" t="s">
        <v>184</v>
      </c>
    </row>
    <row r="95" customFormat="false" ht="15" hidden="false" customHeight="false" outlineLevel="0" collapsed="false">
      <c r="A95" s="18" t="s">
        <v>81</v>
      </c>
      <c r="B95" s="18" t="n">
        <v>2</v>
      </c>
      <c r="C95" s="21" t="s">
        <v>38</v>
      </c>
      <c r="D95" s="18" t="s">
        <v>12</v>
      </c>
      <c r="E95" s="18" t="s">
        <v>177</v>
      </c>
      <c r="F95" s="18" t="s">
        <v>93</v>
      </c>
      <c r="G95" s="18" t="n">
        <f aca="false">B51</f>
        <v>2</v>
      </c>
      <c r="H95" s="19" t="n">
        <f aca="false">H51</f>
        <v>0.425694444444444</v>
      </c>
      <c r="I95" s="18"/>
      <c r="J95" s="18" t="s">
        <v>184</v>
      </c>
    </row>
    <row r="96" customFormat="false" ht="15" hidden="false" customHeight="false" outlineLevel="0" collapsed="false">
      <c r="A96" s="18" t="s">
        <v>81</v>
      </c>
      <c r="B96" s="18" t="n">
        <v>2</v>
      </c>
      <c r="C96" s="21" t="s">
        <v>39</v>
      </c>
      <c r="D96" s="18" t="s">
        <v>16</v>
      </c>
      <c r="E96" s="18" t="s">
        <v>179</v>
      </c>
      <c r="F96" s="18" t="s">
        <v>93</v>
      </c>
      <c r="G96" s="18" t="n">
        <f aca="false">B52</f>
        <v>3</v>
      </c>
      <c r="H96" s="19" t="n">
        <f aca="false">H52</f>
        <v>0.453472222222222</v>
      </c>
      <c r="I96" s="18"/>
      <c r="J96" s="18" t="s">
        <v>184</v>
      </c>
    </row>
    <row r="97" customFormat="false" ht="28.35" hidden="false" customHeight="false" outlineLevel="0" collapsed="false">
      <c r="A97" s="18" t="s">
        <v>81</v>
      </c>
      <c r="B97" s="18" t="n">
        <v>3</v>
      </c>
      <c r="C97" s="21" t="s">
        <v>47</v>
      </c>
      <c r="D97" s="18" t="s">
        <v>12</v>
      </c>
      <c r="E97" s="18" t="s">
        <v>177</v>
      </c>
      <c r="F97" s="18" t="s">
        <v>93</v>
      </c>
      <c r="G97" s="18" t="n">
        <f aca="false">B74</f>
        <v>1</v>
      </c>
      <c r="H97" s="19" t="n">
        <f aca="false">H74</f>
        <v>0.409722222222222</v>
      </c>
      <c r="I97" s="18"/>
      <c r="J97" s="18" t="s">
        <v>185</v>
      </c>
    </row>
    <row r="98" customFormat="false" ht="28.35" hidden="false" customHeight="false" outlineLevel="0" collapsed="false">
      <c r="A98" s="18" t="s">
        <v>81</v>
      </c>
      <c r="B98" s="18" t="n">
        <v>3</v>
      </c>
      <c r="C98" s="21" t="s">
        <v>52</v>
      </c>
      <c r="D98" s="18" t="s">
        <v>10</v>
      </c>
      <c r="E98" s="18" t="s">
        <v>179</v>
      </c>
      <c r="F98" s="18" t="s">
        <v>93</v>
      </c>
      <c r="G98" s="18" t="n">
        <f aca="false">B79</f>
        <v>6</v>
      </c>
      <c r="H98" s="19" t="n">
        <f aca="false">H79</f>
        <v>0.532638888888889</v>
      </c>
      <c r="I98" s="18"/>
      <c r="J98" s="18" t="s">
        <v>185</v>
      </c>
    </row>
    <row r="99" customFormat="false" ht="28.35" hidden="false" customHeight="false" outlineLevel="0" collapsed="false">
      <c r="A99" s="18" t="s">
        <v>81</v>
      </c>
      <c r="B99" s="18" t="n">
        <v>3</v>
      </c>
      <c r="C99" s="21" t="s">
        <v>54</v>
      </c>
      <c r="D99" s="18" t="s">
        <v>16</v>
      </c>
      <c r="E99" s="18" t="s">
        <v>179</v>
      </c>
      <c r="F99" s="18" t="s">
        <v>93</v>
      </c>
      <c r="G99" s="18" t="n">
        <f aca="false">B81</f>
        <v>8</v>
      </c>
      <c r="H99" s="19" t="n">
        <f aca="false">H81</f>
        <v>0.572916666666667</v>
      </c>
      <c r="I99" s="18"/>
      <c r="J99" s="18" t="s">
        <v>185</v>
      </c>
    </row>
    <row r="100" customFormat="false" ht="15" hidden="false" customHeight="false" outlineLevel="0" collapsed="false">
      <c r="A100" s="18" t="s">
        <v>81</v>
      </c>
      <c r="B100" s="18" t="n">
        <v>3</v>
      </c>
      <c r="C100" s="21" t="s">
        <v>55</v>
      </c>
      <c r="D100" s="18" t="s">
        <v>12</v>
      </c>
      <c r="E100" s="18" t="s">
        <v>179</v>
      </c>
      <c r="F100" s="18" t="s">
        <v>167</v>
      </c>
      <c r="G100" s="18" t="n">
        <f aca="false">B82</f>
        <v>9</v>
      </c>
      <c r="H100" s="19" t="n">
        <f aca="false">H82</f>
        <v>0.600694444444444</v>
      </c>
      <c r="I100" s="18"/>
      <c r="J100" s="18" t="s">
        <v>186</v>
      </c>
    </row>
    <row r="102" customFormat="false" ht="15" hidden="false" customHeight="false" outlineLevel="0" collapsed="false">
      <c r="A102" s="15" t="s">
        <v>187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customFormat="false" ht="15" hidden="false" customHeight="false" outlineLevel="0" collapsed="false">
      <c r="A103" s="25" t="s">
        <v>188</v>
      </c>
      <c r="B103" s="5" t="s">
        <v>189</v>
      </c>
    </row>
    <row r="104" customFormat="false" ht="15" hidden="false" customHeight="false" outlineLevel="0" collapsed="false">
      <c r="A104" s="25" t="s">
        <v>190</v>
      </c>
      <c r="B104" s="5" t="s">
        <v>191</v>
      </c>
    </row>
    <row r="105" customFormat="false" ht="15" hidden="false" customHeight="false" outlineLevel="0" collapsed="false">
      <c r="A105" s="25" t="s">
        <v>192</v>
      </c>
      <c r="B105" s="5" t="s">
        <v>193</v>
      </c>
    </row>
    <row r="106" customFormat="false" ht="15" hidden="false" customHeight="false" outlineLevel="0" collapsed="false">
      <c r="A106" s="25" t="s">
        <v>35</v>
      </c>
      <c r="B106" s="5" t="s">
        <v>194</v>
      </c>
    </row>
    <row r="107" customFormat="false" ht="28.35" hidden="false" customHeight="false" outlineLevel="0" collapsed="false">
      <c r="A107" s="25" t="s">
        <v>195</v>
      </c>
      <c r="B107" s="5" t="s">
        <v>196</v>
      </c>
    </row>
    <row r="108" customFormat="false" ht="15" hidden="false" customHeight="false" outlineLevel="0" collapsed="false">
      <c r="A108" s="25" t="s">
        <v>197</v>
      </c>
      <c r="B108" s="5" t="s">
        <v>198</v>
      </c>
    </row>
    <row r="109" customFormat="false" ht="15" hidden="false" customHeight="false" outlineLevel="0" collapsed="false">
      <c r="A109" s="25" t="s">
        <v>199</v>
      </c>
      <c r="B109" s="5" t="s">
        <v>200</v>
      </c>
    </row>
  </sheetData>
  <conditionalFormatting sqref="H24:I24">
    <cfRule type="cellIs" priority="2" operator="greaterThan" aboveAverage="0" equalAverage="0" bottom="0" percent="0" rank="0" text="" dxfId="4">
      <formula>TIME(17,30,0)</formula>
    </cfRule>
  </conditionalFormatting>
  <conditionalFormatting sqref="H35:I35">
    <cfRule type="cellIs" priority="3" operator="greaterThan" aboveAverage="0" equalAverage="0" bottom="0" percent="0" rank="0" text="" dxfId="4">
      <formula>TIME(17,30,0)</formula>
    </cfRule>
  </conditionalFormatting>
  <conditionalFormatting sqref="H47:I47">
    <cfRule type="cellIs" priority="4" operator="greaterThan" aboveAverage="0" equalAverage="0" bottom="0" percent="0" rank="0" text="" dxfId="4">
      <formula>TIME(17,30,0)</formula>
    </cfRule>
  </conditionalFormatting>
  <conditionalFormatting sqref="H60:I60">
    <cfRule type="cellIs" priority="5" operator="greaterThan" aboveAverage="0" equalAverage="0" bottom="0" percent="0" rank="0" text="" dxfId="4">
      <formula>TIME(17,30,0)</formula>
    </cfRule>
  </conditionalFormatting>
  <conditionalFormatting sqref="H71:I71">
    <cfRule type="cellIs" priority="6" operator="greaterThan" aboveAverage="0" equalAverage="0" bottom="0" percent="0" rank="0" text="" dxfId="4">
      <formula>TIME(17,30,0)</formula>
    </cfRule>
  </conditionalFormatting>
  <conditionalFormatting sqref="H84:I84">
    <cfRule type="cellIs" priority="7" operator="greaterThan" aboveAverage="0" equalAverage="0" bottom="0" percent="0" rank="0" text="" dxfId="4">
      <formula>TIME(17,30,0)</formula>
    </cfRule>
  </conditionalFormatting>
  <conditionalFormatting sqref="I9:I14">
    <cfRule type="cellIs" priority="8" operator="greaterThan" aboveAverage="0" equalAverage="0" bottom="0" percent="0" rank="0" text="" dxfId="4">
      <formula>TIME(17,30,0)</formula>
    </cfRule>
  </conditionalFormatting>
  <conditionalFormatting sqref="J9:J14">
    <cfRule type="cellIs" priority="9" operator="equal" aboveAverage="0" equalAverage="0" bottom="0" percent="0" rank="0" text="" dxfId="4">
      <formula>"NEE"</formula>
    </cfRule>
    <cfRule type="cellIs" priority="10" operator="equal" aboveAverage="0" equalAverage="0" bottom="0" percent="0" rank="0" text="" dxfId="5">
      <formula>"JA"</formula>
    </cfRule>
  </conditionalFormatting>
  <hyperlinks>
    <hyperlink ref="K20" r:id="rId1" display="Open adres"/>
    <hyperlink ref="K21" r:id="rId2" display="Open adres"/>
    <hyperlink ref="K22" r:id="rId3" display="Open adres"/>
    <hyperlink ref="K23" r:id="rId4" display="Open adres"/>
    <hyperlink ref="K27" r:id="rId5" display="Open adres"/>
    <hyperlink ref="K28" r:id="rId6" display="Open adres"/>
    <hyperlink ref="K29" r:id="rId7" display="Open adres"/>
    <hyperlink ref="K30" r:id="rId8" display="Open adres"/>
    <hyperlink ref="K31" r:id="rId9" display="Open adres"/>
    <hyperlink ref="K32" r:id="rId10" display="Open adres"/>
    <hyperlink ref="K33" r:id="rId11" display="Open adres"/>
    <hyperlink ref="K34" r:id="rId12" display="Open adres"/>
    <hyperlink ref="K41" r:id="rId13" display="Open adres"/>
    <hyperlink ref="K42" r:id="rId14" display="Open adres"/>
    <hyperlink ref="K43" r:id="rId15" display="Open adres"/>
    <hyperlink ref="K44" r:id="rId16" display="Open adres"/>
    <hyperlink ref="K45" r:id="rId17" display="Open adres"/>
    <hyperlink ref="K46" r:id="rId18" display="Open adres"/>
    <hyperlink ref="K50" r:id="rId19" display="Open adres"/>
    <hyperlink ref="K51" r:id="rId20" display="Open adres"/>
    <hyperlink ref="K52" r:id="rId21" display="Open adres"/>
    <hyperlink ref="K53" r:id="rId22" display="Open adres"/>
    <hyperlink ref="K54" r:id="rId23" display="Open adres"/>
    <hyperlink ref="K55" r:id="rId24" display="Open adres"/>
    <hyperlink ref="K56" r:id="rId25" display="Open adres"/>
    <hyperlink ref="K57" r:id="rId26" display="Open adres"/>
    <hyperlink ref="K58" r:id="rId27" display="Open adres"/>
    <hyperlink ref="K59" r:id="rId28" display="Open adres"/>
    <hyperlink ref="K66" r:id="rId29" display="Open adres"/>
    <hyperlink ref="K67" r:id="rId30" display="Open adres"/>
    <hyperlink ref="K68" r:id="rId31" display="Open adres"/>
    <hyperlink ref="K69" r:id="rId32" display="Open adres"/>
    <hyperlink ref="K70" r:id="rId33" display="Open adres"/>
    <hyperlink ref="K74" r:id="rId34" display="Open adres"/>
    <hyperlink ref="K75" r:id="rId35" display="Open adres"/>
    <hyperlink ref="K76" r:id="rId36" display="Open adres"/>
    <hyperlink ref="K77" r:id="rId37" display="Open adres"/>
    <hyperlink ref="K78" r:id="rId38" display="Open adres"/>
    <hyperlink ref="K79" r:id="rId39" display="Open adres"/>
    <hyperlink ref="K80" r:id="rId40" display="Open adres"/>
    <hyperlink ref="K81" r:id="rId41" display="Open adres"/>
    <hyperlink ref="K82" r:id="rId42" display="Open adres"/>
    <hyperlink ref="K83" r:id="rId43" display="Open adr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19" activeCellId="0" sqref="B19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4"/>
    <col collapsed="false" customWidth="true" hidden="false" outlineLevel="0" max="3" min="3" style="0" width="29"/>
    <col collapsed="false" customWidth="true" hidden="false" outlineLevel="0" max="5" min="4" style="0" width="26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9" min="8" style="0" width="19"/>
  </cols>
  <sheetData>
    <row r="1" customFormat="false" ht="18.75" hidden="false" customHeight="true" outlineLevel="0" collapsed="false">
      <c r="A1" s="26" t="s">
        <v>201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0" t="s">
        <v>58</v>
      </c>
      <c r="B2" s="0" t="s">
        <v>59</v>
      </c>
      <c r="C2" s="0" t="s">
        <v>60</v>
      </c>
      <c r="D2" s="0" t="s">
        <v>61</v>
      </c>
    </row>
    <row r="3" customFormat="false" ht="15" hidden="false" customHeight="false" outlineLevel="0" collapsed="false">
      <c r="A3" s="0" t="s">
        <v>62</v>
      </c>
      <c r="B3" s="0" t="s">
        <v>63</v>
      </c>
      <c r="C3" s="0" t="s">
        <v>64</v>
      </c>
      <c r="D3" s="0" t="s">
        <v>65</v>
      </c>
    </row>
    <row r="4" customFormat="false" ht="15" hidden="false" customHeight="false" outlineLevel="0" collapsed="false">
      <c r="A4" s="0" t="s">
        <v>66</v>
      </c>
      <c r="B4" s="0" t="s">
        <v>67</v>
      </c>
    </row>
    <row r="5" customFormat="false" ht="15" hidden="false" customHeight="false" outlineLevel="0" collapsed="false">
      <c r="A5" s="0" t="s">
        <v>68</v>
      </c>
      <c r="B5" s="0" t="s">
        <v>202</v>
      </c>
    </row>
    <row r="7" customFormat="false" ht="15" hidden="false" customHeight="false" outlineLevel="0" collapsed="false">
      <c r="A7" s="27" t="s">
        <v>5</v>
      </c>
      <c r="B7" s="27" t="s">
        <v>6</v>
      </c>
      <c r="C7" s="27" t="s">
        <v>8</v>
      </c>
      <c r="D7" s="27" t="s">
        <v>73</v>
      </c>
      <c r="E7" s="27" t="s">
        <v>75</v>
      </c>
      <c r="F7" s="27" t="s">
        <v>76</v>
      </c>
      <c r="G7" s="27" t="s">
        <v>77</v>
      </c>
      <c r="H7" s="27" t="s">
        <v>78</v>
      </c>
      <c r="I7" s="27" t="s">
        <v>79</v>
      </c>
    </row>
    <row r="8" customFormat="false" ht="24" hidden="false" customHeight="true" outlineLevel="0" collapsed="false">
      <c r="A8" s="28" t="s">
        <v>192</v>
      </c>
      <c r="B8" s="28" t="n">
        <v>1</v>
      </c>
      <c r="C8" s="28" t="n">
        <v>7</v>
      </c>
      <c r="D8" s="28" t="n">
        <v>3</v>
      </c>
      <c r="E8" s="28" t="n">
        <v>133</v>
      </c>
      <c r="F8" s="28" t="n">
        <v>140</v>
      </c>
      <c r="G8" s="28" t="n">
        <v>30</v>
      </c>
      <c r="H8" s="29" t="n">
        <f aca="false">'Dag 1'!H11</f>
        <v>0.60625</v>
      </c>
      <c r="I8" s="28" t="str">
        <f aca="false">IF(H8&lt;=TIME(17,30,0),"JA","NEE")</f>
        <v>JA</v>
      </c>
    </row>
    <row r="9" customFormat="false" ht="24" hidden="false" customHeight="true" outlineLevel="0" collapsed="false">
      <c r="A9" s="28" t="s">
        <v>192</v>
      </c>
      <c r="B9" s="28" t="n">
        <v>2</v>
      </c>
      <c r="C9" s="28" t="n">
        <v>4</v>
      </c>
      <c r="D9" s="28" t="n">
        <v>1</v>
      </c>
      <c r="E9" s="28" t="n">
        <v>224</v>
      </c>
      <c r="F9" s="28" t="n">
        <v>80</v>
      </c>
      <c r="G9" s="28" t="n">
        <v>30</v>
      </c>
      <c r="H9" s="29" t="n">
        <f aca="false">'Dag 2'!H9</f>
        <v>0.7</v>
      </c>
      <c r="I9" s="28" t="str">
        <f aca="false">IF(H9&lt;=TIME(17,30,0),"JA","NEE")</f>
        <v>JA</v>
      </c>
    </row>
    <row r="10" customFormat="false" ht="24" hidden="false" customHeight="true" outlineLevel="0" collapsed="false">
      <c r="A10" s="28" t="s">
        <v>192</v>
      </c>
      <c r="B10" s="28" t="n">
        <v>3</v>
      </c>
      <c r="C10" s="28" t="n">
        <v>4</v>
      </c>
      <c r="D10" s="28" t="n">
        <v>0</v>
      </c>
      <c r="E10" s="28" t="n">
        <v>95</v>
      </c>
      <c r="F10" s="28" t="n">
        <v>80</v>
      </c>
      <c r="G10" s="28" t="n">
        <v>30</v>
      </c>
      <c r="H10" s="29" t="n">
        <f aca="false">'Dag 3'!H9</f>
        <v>0.697222222222222</v>
      </c>
      <c r="I10" s="28" t="str">
        <f aca="false">IF(H10&lt;=TIME(17,30,0),"JA","NEE")</f>
        <v>JA</v>
      </c>
    </row>
    <row r="11" customFormat="false" ht="24" hidden="false" customHeight="true" outlineLevel="0" collapsed="false">
      <c r="A11" s="28" t="s">
        <v>80</v>
      </c>
      <c r="B11" s="28" t="n">
        <v>1</v>
      </c>
      <c r="C11" s="28" t="n">
        <v>3</v>
      </c>
      <c r="D11" s="28" t="n">
        <v>3</v>
      </c>
      <c r="E11" s="28" t="n">
        <v>308</v>
      </c>
      <c r="F11" s="28" t="n">
        <v>60</v>
      </c>
      <c r="G11" s="28" t="n">
        <v>30</v>
      </c>
      <c r="H11" s="29" t="n">
        <f aca="false">'Dag 1'!H17</f>
        <v>0.675694444444444</v>
      </c>
      <c r="I11" s="28" t="str">
        <f aca="false">IF(H11&lt;=TIME(17,30,0),"JA","NEE")</f>
        <v>JA</v>
      </c>
    </row>
    <row r="12" customFormat="false" ht="24" hidden="false" customHeight="true" outlineLevel="0" collapsed="false">
      <c r="A12" s="28" t="s">
        <v>80</v>
      </c>
      <c r="B12" s="28" t="n">
        <v>2</v>
      </c>
      <c r="C12" s="28" t="n">
        <v>5</v>
      </c>
      <c r="D12" s="28" t="n">
        <v>4</v>
      </c>
      <c r="E12" s="28" t="n">
        <v>318</v>
      </c>
      <c r="F12" s="28" t="n">
        <v>100</v>
      </c>
      <c r="G12" s="28" t="n">
        <v>30</v>
      </c>
      <c r="H12" s="29" t="n">
        <f aca="false">'Dag 2'!H17</f>
        <v>0.706944444444444</v>
      </c>
      <c r="I12" s="28" t="str">
        <f aca="false">IF(H12&lt;=TIME(17,30,0),"JA","NEE")</f>
        <v>JA</v>
      </c>
    </row>
    <row r="13" customFormat="false" ht="24" hidden="false" customHeight="true" outlineLevel="0" collapsed="false">
      <c r="A13" s="28" t="s">
        <v>80</v>
      </c>
      <c r="B13" s="28" t="n">
        <v>3</v>
      </c>
      <c r="C13" s="28" t="n">
        <v>4</v>
      </c>
      <c r="D13" s="28" t="n">
        <v>4</v>
      </c>
      <c r="E13" s="28" t="n">
        <v>323</v>
      </c>
      <c r="F13" s="28" t="n">
        <v>80</v>
      </c>
      <c r="G13" s="28" t="n">
        <v>30</v>
      </c>
      <c r="H13" s="29" t="n">
        <f aca="false">'Dag 3'!H17</f>
        <v>0.714583333333333</v>
      </c>
      <c r="I13" s="28" t="str">
        <f aca="false">IF(H13&lt;=TIME(17,30,0),"JA","NEE")</f>
        <v>JA</v>
      </c>
    </row>
    <row r="14" customFormat="false" ht="24" hidden="false" customHeight="true" outlineLevel="0" collapsed="false">
      <c r="A14" s="28" t="s">
        <v>81</v>
      </c>
      <c r="B14" s="28" t="n">
        <v>1</v>
      </c>
      <c r="C14" s="28" t="n">
        <v>5</v>
      </c>
      <c r="D14" s="28" t="n">
        <v>4</v>
      </c>
      <c r="E14" s="28" t="n">
        <v>263</v>
      </c>
      <c r="F14" s="28" t="n">
        <v>100</v>
      </c>
      <c r="G14" s="28" t="n">
        <v>30</v>
      </c>
      <c r="H14" s="29" t="n">
        <f aca="false">'Dag 1'!H25</f>
        <v>0.675694444444444</v>
      </c>
      <c r="I14" s="28" t="str">
        <f aca="false">IF(H14&lt;=TIME(17,30,0),"JA","NEE")</f>
        <v>JA</v>
      </c>
    </row>
    <row r="15" customFormat="false" ht="24" hidden="false" customHeight="true" outlineLevel="0" collapsed="false">
      <c r="A15" s="28" t="s">
        <v>81</v>
      </c>
      <c r="B15" s="28" t="n">
        <v>2</v>
      </c>
      <c r="C15" s="28" t="n">
        <v>7</v>
      </c>
      <c r="D15" s="28" t="n">
        <v>7</v>
      </c>
      <c r="E15" s="28" t="n">
        <v>165</v>
      </c>
      <c r="F15" s="28" t="n">
        <v>140</v>
      </c>
      <c r="G15" s="28" t="n">
        <v>30</v>
      </c>
      <c r="H15" s="29" t="n">
        <f aca="false">'Dag 2'!H27</f>
        <v>0.628472222222222</v>
      </c>
      <c r="I15" s="28" t="str">
        <f aca="false">IF(H15&lt;=TIME(17,30,0),"JA","NEE")</f>
        <v>JA</v>
      </c>
    </row>
    <row r="16" customFormat="false" ht="24" hidden="false" customHeight="true" outlineLevel="0" collapsed="false">
      <c r="A16" s="28" t="s">
        <v>81</v>
      </c>
      <c r="B16" s="28" t="n">
        <v>3</v>
      </c>
      <c r="C16" s="28" t="n">
        <v>6</v>
      </c>
      <c r="D16" s="28" t="n">
        <v>4</v>
      </c>
      <c r="E16" s="28" t="n">
        <v>148</v>
      </c>
      <c r="F16" s="28" t="n">
        <v>120</v>
      </c>
      <c r="G16" s="28" t="n">
        <v>30</v>
      </c>
      <c r="H16" s="29" t="n">
        <f aca="false">'Dag 3'!H26</f>
        <v>0.602777777777778</v>
      </c>
      <c r="I16" s="28" t="str">
        <f aca="false">IF(H16&lt;=TIME(17,30,0),"JA","NEE")</f>
        <v>JA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J23" activeCellId="0" sqref="J23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9"/>
    <col collapsed="false" customWidth="true" hidden="false" outlineLevel="0" max="9" min="8" style="0" width="14"/>
    <col collapsed="false" customWidth="true" hidden="false" outlineLevel="0" max="10" min="10" style="0" width="26"/>
    <col collapsed="false" customWidth="true" hidden="false" outlineLevel="0" max="11" min="11" style="0" width="18"/>
  </cols>
  <sheetData>
    <row r="1" customFormat="false" ht="15.75" hidden="false" customHeight="true" outlineLevel="0" collapsed="false">
      <c r="A1" s="30" t="s">
        <v>82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false" outlineLevel="0" collapsed="false">
      <c r="A2" s="27" t="s">
        <v>5</v>
      </c>
      <c r="B2" s="27" t="s">
        <v>83</v>
      </c>
      <c r="C2" s="27" t="s">
        <v>3</v>
      </c>
      <c r="D2" s="27" t="s">
        <v>4</v>
      </c>
      <c r="E2" s="27" t="s">
        <v>84</v>
      </c>
      <c r="F2" s="27" t="s">
        <v>85</v>
      </c>
      <c r="G2" s="27" t="s">
        <v>86</v>
      </c>
      <c r="H2" s="27" t="s">
        <v>87</v>
      </c>
      <c r="I2" s="27" t="s">
        <v>88</v>
      </c>
      <c r="J2" s="27" t="s">
        <v>89</v>
      </c>
      <c r="K2" s="27" t="s">
        <v>90</v>
      </c>
    </row>
    <row r="3" customFormat="false" ht="15" hidden="false" customHeight="false" outlineLevel="0" collapsed="false">
      <c r="A3" s="16" t="s">
        <v>192</v>
      </c>
      <c r="B3" s="16" t="s">
        <v>91</v>
      </c>
      <c r="C3" s="16" t="s">
        <v>59</v>
      </c>
      <c r="D3" s="16"/>
      <c r="E3" s="16" t="s">
        <v>92</v>
      </c>
      <c r="F3" s="16" t="s">
        <v>93</v>
      </c>
      <c r="G3" s="16" t="n">
        <v>0</v>
      </c>
      <c r="H3" s="17" t="n">
        <v>0.395833333333333</v>
      </c>
      <c r="I3" s="17" t="n">
        <v>0.395833333333333</v>
      </c>
      <c r="J3" s="16" t="s">
        <v>94</v>
      </c>
      <c r="K3" s="16"/>
    </row>
    <row r="4" customFormat="false" ht="33.75" hidden="false" customHeight="true" outlineLevel="0" collapsed="false">
      <c r="A4" s="31" t="s">
        <v>192</v>
      </c>
      <c r="B4" s="31" t="n">
        <v>1</v>
      </c>
      <c r="C4" s="31" t="s">
        <v>203</v>
      </c>
      <c r="D4" s="31" t="s">
        <v>204</v>
      </c>
      <c r="E4" s="31" t="s">
        <v>205</v>
      </c>
      <c r="F4" s="31" t="s">
        <v>93</v>
      </c>
      <c r="G4" s="31" t="n">
        <v>20</v>
      </c>
      <c r="H4" s="32" t="n">
        <f aca="false">I3+G4/1440+0/1440</f>
        <v>0.409722222222222</v>
      </c>
      <c r="I4" s="32" t="n">
        <f aca="false">H4+20/1440</f>
        <v>0.423611111111111</v>
      </c>
      <c r="J4" s="31" t="s">
        <v>97</v>
      </c>
      <c r="K4" s="33" t="s">
        <v>98</v>
      </c>
    </row>
    <row r="5" customFormat="false" ht="33.75" hidden="false" customHeight="true" outlineLevel="0" collapsed="false">
      <c r="A5" s="31" t="s">
        <v>192</v>
      </c>
      <c r="B5" s="31" t="n">
        <v>2</v>
      </c>
      <c r="C5" s="31" t="s">
        <v>47</v>
      </c>
      <c r="D5" s="31" t="s">
        <v>12</v>
      </c>
      <c r="E5" s="31" t="s">
        <v>157</v>
      </c>
      <c r="F5" s="31" t="s">
        <v>93</v>
      </c>
      <c r="G5" s="31" t="n">
        <v>3</v>
      </c>
      <c r="H5" s="32" t="n">
        <f aca="false">I4+G5/1440+0/1440</f>
        <v>0.425694444444444</v>
      </c>
      <c r="I5" s="32" t="n">
        <f aca="false">H5+20/1440</f>
        <v>0.439583333333333</v>
      </c>
      <c r="J5" s="34" t="s">
        <v>206</v>
      </c>
      <c r="K5" s="33" t="s">
        <v>98</v>
      </c>
    </row>
    <row r="6" customFormat="false" ht="33.75" hidden="false" customHeight="true" outlineLevel="0" collapsed="false">
      <c r="A6" s="31" t="s">
        <v>192</v>
      </c>
      <c r="B6" s="31" t="n">
        <v>3</v>
      </c>
      <c r="C6" s="31" t="s">
        <v>37</v>
      </c>
      <c r="D6" s="31" t="s">
        <v>12</v>
      </c>
      <c r="E6" s="31" t="s">
        <v>135</v>
      </c>
      <c r="F6" s="31" t="s">
        <v>93</v>
      </c>
      <c r="G6" s="31" t="n">
        <v>14</v>
      </c>
      <c r="H6" s="32" t="n">
        <f aca="false">I5+G6/1440+0/1440</f>
        <v>0.449305555555556</v>
      </c>
      <c r="I6" s="32" t="n">
        <f aca="false">H6+20/1440</f>
        <v>0.463194444444444</v>
      </c>
      <c r="J6" s="34" t="s">
        <v>206</v>
      </c>
      <c r="K6" s="33" t="s">
        <v>98</v>
      </c>
    </row>
    <row r="7" customFormat="false" ht="33.75" hidden="false" customHeight="true" outlineLevel="0" collapsed="false">
      <c r="A7" s="31" t="s">
        <v>192</v>
      </c>
      <c r="B7" s="31" t="n">
        <v>4</v>
      </c>
      <c r="C7" s="31" t="s">
        <v>38</v>
      </c>
      <c r="D7" s="31" t="s">
        <v>12</v>
      </c>
      <c r="E7" s="31" t="s">
        <v>137</v>
      </c>
      <c r="F7" s="31" t="s">
        <v>93</v>
      </c>
      <c r="G7" s="31" t="n">
        <v>8</v>
      </c>
      <c r="H7" s="32" t="n">
        <f aca="false">I6+G7/1440+30/1440</f>
        <v>0.489583333333333</v>
      </c>
      <c r="I7" s="32" t="n">
        <f aca="false">H7+20/1440</f>
        <v>0.503472222222222</v>
      </c>
      <c r="J7" s="34" t="s">
        <v>206</v>
      </c>
      <c r="K7" s="33" t="s">
        <v>98</v>
      </c>
    </row>
    <row r="8" customFormat="false" ht="33.75" hidden="false" customHeight="true" outlineLevel="0" collapsed="false">
      <c r="A8" s="31" t="s">
        <v>192</v>
      </c>
      <c r="B8" s="31" t="n">
        <v>5</v>
      </c>
      <c r="C8" s="31" t="s">
        <v>207</v>
      </c>
      <c r="D8" s="31" t="s">
        <v>204</v>
      </c>
      <c r="E8" s="31" t="s">
        <v>208</v>
      </c>
      <c r="F8" s="31" t="s">
        <v>93</v>
      </c>
      <c r="G8" s="31" t="n">
        <v>18</v>
      </c>
      <c r="H8" s="32" t="n">
        <f aca="false">I7+G8/1440+0/1440</f>
        <v>0.515972222222222</v>
      </c>
      <c r="I8" s="32" t="n">
        <f aca="false">H8+20/1440</f>
        <v>0.529861111111111</v>
      </c>
      <c r="J8" s="31" t="s">
        <v>97</v>
      </c>
      <c r="K8" s="33" t="s">
        <v>98</v>
      </c>
    </row>
    <row r="9" customFormat="false" ht="33.75" hidden="false" customHeight="true" outlineLevel="0" collapsed="false">
      <c r="A9" s="31" t="s">
        <v>192</v>
      </c>
      <c r="B9" s="31" t="n">
        <v>6</v>
      </c>
      <c r="C9" s="31" t="s">
        <v>15</v>
      </c>
      <c r="D9" s="31" t="s">
        <v>12</v>
      </c>
      <c r="E9" s="31" t="s">
        <v>102</v>
      </c>
      <c r="F9" s="31" t="s">
        <v>93</v>
      </c>
      <c r="G9" s="31" t="n">
        <v>18</v>
      </c>
      <c r="H9" s="32" t="n">
        <f aca="false">I8+G9/1440+0/1440</f>
        <v>0.542361111111111</v>
      </c>
      <c r="I9" s="32" t="n">
        <f aca="false">H9+20/1440</f>
        <v>0.55625</v>
      </c>
      <c r="J9" s="34" t="s">
        <v>206</v>
      </c>
      <c r="K9" s="33" t="s">
        <v>98</v>
      </c>
    </row>
    <row r="10" customFormat="false" ht="33.75" hidden="false" customHeight="true" outlineLevel="0" collapsed="false">
      <c r="A10" s="31" t="s">
        <v>192</v>
      </c>
      <c r="B10" s="31" t="n">
        <v>7</v>
      </c>
      <c r="C10" s="31" t="s">
        <v>209</v>
      </c>
      <c r="D10" s="31" t="s">
        <v>210</v>
      </c>
      <c r="E10" s="31" t="s">
        <v>211</v>
      </c>
      <c r="F10" s="31" t="s">
        <v>93</v>
      </c>
      <c r="G10" s="31" t="n">
        <v>28</v>
      </c>
      <c r="H10" s="32" t="n">
        <f aca="false">I9+G10/1440+0/1440</f>
        <v>0.575694444444444</v>
      </c>
      <c r="I10" s="32" t="n">
        <f aca="false">H10+20/1440</f>
        <v>0.589583333333333</v>
      </c>
      <c r="J10" s="31" t="s">
        <v>97</v>
      </c>
      <c r="K10" s="33" t="s">
        <v>98</v>
      </c>
    </row>
    <row r="11" customFormat="false" ht="15" hidden="false" customHeight="false" outlineLevel="0" collapsed="false">
      <c r="A11" s="16" t="s">
        <v>192</v>
      </c>
      <c r="B11" s="16" t="s">
        <v>104</v>
      </c>
      <c r="C11" s="16" t="s">
        <v>59</v>
      </c>
      <c r="D11" s="16"/>
      <c r="E11" s="16" t="s">
        <v>105</v>
      </c>
      <c r="F11" s="16" t="s">
        <v>93</v>
      </c>
      <c r="G11" s="16" t="n">
        <v>24</v>
      </c>
      <c r="H11" s="17" t="n">
        <f aca="false">I10+G11/1440+0/1440</f>
        <v>0.60625</v>
      </c>
      <c r="I11" s="17" t="n">
        <f aca="false">H11</f>
        <v>0.60625</v>
      </c>
      <c r="J11" s="16" t="s">
        <v>212</v>
      </c>
      <c r="K11" s="16"/>
    </row>
    <row r="13" customFormat="false" ht="15" hidden="false" customHeight="false" outlineLevel="0" collapsed="false">
      <c r="A13" s="16" t="s">
        <v>80</v>
      </c>
      <c r="B13" s="16" t="s">
        <v>91</v>
      </c>
      <c r="C13" s="16" t="s">
        <v>59</v>
      </c>
      <c r="D13" s="16"/>
      <c r="E13" s="16" t="s">
        <v>92</v>
      </c>
      <c r="F13" s="16" t="s">
        <v>93</v>
      </c>
      <c r="G13" s="16" t="n">
        <v>0</v>
      </c>
      <c r="H13" s="17" t="n">
        <v>0.395833333333333</v>
      </c>
      <c r="I13" s="17" t="n">
        <v>0.395833333333333</v>
      </c>
      <c r="J13" s="16" t="s">
        <v>94</v>
      </c>
      <c r="K13" s="16"/>
    </row>
    <row r="14" customFormat="false" ht="33.75" hidden="false" customHeight="true" outlineLevel="0" collapsed="false">
      <c r="A14" s="31" t="s">
        <v>80</v>
      </c>
      <c r="B14" s="31" t="n">
        <v>1</v>
      </c>
      <c r="C14" s="31" t="s">
        <v>9</v>
      </c>
      <c r="D14" s="31" t="s">
        <v>10</v>
      </c>
      <c r="E14" s="31" t="s">
        <v>95</v>
      </c>
      <c r="F14" s="31" t="s">
        <v>96</v>
      </c>
      <c r="G14" s="31" t="n">
        <v>130</v>
      </c>
      <c r="H14" s="32" t="n">
        <f aca="false">I13+G14/1440+0/1440</f>
        <v>0.486111111111111</v>
      </c>
      <c r="I14" s="32" t="n">
        <f aca="false">H14+20/1440</f>
        <v>0.5</v>
      </c>
      <c r="J14" s="31" t="s">
        <v>97</v>
      </c>
      <c r="K14" s="33" t="s">
        <v>98</v>
      </c>
    </row>
    <row r="15" customFormat="false" ht="33.75" hidden="false" customHeight="true" outlineLevel="0" collapsed="false">
      <c r="A15" s="31" t="s">
        <v>80</v>
      </c>
      <c r="B15" s="31" t="n">
        <v>2</v>
      </c>
      <c r="C15" s="31" t="s">
        <v>11</v>
      </c>
      <c r="D15" s="31" t="s">
        <v>10</v>
      </c>
      <c r="E15" s="31" t="s">
        <v>99</v>
      </c>
      <c r="F15" s="31" t="s">
        <v>96</v>
      </c>
      <c r="G15" s="31" t="n">
        <v>17</v>
      </c>
      <c r="H15" s="32" t="n">
        <f aca="false">I14+G15/1440+0/1440</f>
        <v>0.511805555555556</v>
      </c>
      <c r="I15" s="32" t="n">
        <f aca="false">H15+20/1440</f>
        <v>0.525694444444445</v>
      </c>
      <c r="J15" s="31" t="s">
        <v>97</v>
      </c>
      <c r="K15" s="33" t="s">
        <v>98</v>
      </c>
    </row>
    <row r="16" customFormat="false" ht="33.75" hidden="false" customHeight="true" outlineLevel="0" collapsed="false">
      <c r="A16" s="31" t="s">
        <v>80</v>
      </c>
      <c r="B16" s="31" t="n">
        <v>3</v>
      </c>
      <c r="C16" s="31" t="s">
        <v>13</v>
      </c>
      <c r="D16" s="31" t="s">
        <v>10</v>
      </c>
      <c r="E16" s="31" t="s">
        <v>100</v>
      </c>
      <c r="F16" s="31" t="s">
        <v>101</v>
      </c>
      <c r="G16" s="31" t="n">
        <v>115</v>
      </c>
      <c r="H16" s="32" t="n">
        <f aca="false">I15+G16/1440+0/1440</f>
        <v>0.605555555555556</v>
      </c>
      <c r="I16" s="32" t="n">
        <f aca="false">H16+20/1440</f>
        <v>0.619444444444445</v>
      </c>
      <c r="J16" s="31" t="s">
        <v>97</v>
      </c>
      <c r="K16" s="33" t="s">
        <v>98</v>
      </c>
    </row>
    <row r="17" customFormat="false" ht="15" hidden="false" customHeight="false" outlineLevel="0" collapsed="false">
      <c r="A17" s="16" t="s">
        <v>80</v>
      </c>
      <c r="B17" s="16" t="s">
        <v>104</v>
      </c>
      <c r="C17" s="16" t="s">
        <v>59</v>
      </c>
      <c r="D17" s="16"/>
      <c r="E17" s="16" t="s">
        <v>105</v>
      </c>
      <c r="F17" s="16" t="s">
        <v>93</v>
      </c>
      <c r="G17" s="16" t="n">
        <v>51</v>
      </c>
      <c r="H17" s="17" t="n">
        <f aca="false">I16+G17/1440+30/1440</f>
        <v>0.675694444444444</v>
      </c>
      <c r="I17" s="17" t="n">
        <f aca="false">H17</f>
        <v>0.675694444444444</v>
      </c>
      <c r="J17" s="16" t="s">
        <v>212</v>
      </c>
      <c r="K17" s="16"/>
    </row>
    <row r="19" customFormat="false" ht="15" hidden="false" customHeight="false" outlineLevel="0" collapsed="false">
      <c r="A19" s="16" t="s">
        <v>81</v>
      </c>
      <c r="B19" s="16" t="s">
        <v>91</v>
      </c>
      <c r="C19" s="16" t="s">
        <v>59</v>
      </c>
      <c r="D19" s="16"/>
      <c r="E19" s="16" t="s">
        <v>92</v>
      </c>
      <c r="F19" s="16" t="s">
        <v>93</v>
      </c>
      <c r="G19" s="16" t="n">
        <v>0</v>
      </c>
      <c r="H19" s="17" t="n">
        <v>0.395833333333333</v>
      </c>
      <c r="I19" s="17" t="n">
        <v>0.395833333333333</v>
      </c>
      <c r="J19" s="16" t="s">
        <v>94</v>
      </c>
      <c r="K19" s="16"/>
    </row>
    <row r="20" customFormat="false" ht="33.75" hidden="false" customHeight="true" outlineLevel="0" collapsed="false">
      <c r="A20" s="31" t="s">
        <v>81</v>
      </c>
      <c r="B20" s="31" t="n">
        <v>1</v>
      </c>
      <c r="C20" s="31" t="s">
        <v>29</v>
      </c>
      <c r="D20" s="31" t="s">
        <v>14</v>
      </c>
      <c r="E20" s="31" t="s">
        <v>106</v>
      </c>
      <c r="F20" s="31" t="s">
        <v>107</v>
      </c>
      <c r="G20" s="31" t="n">
        <v>93</v>
      </c>
      <c r="H20" s="32" t="n">
        <f aca="false">I19+G20/1440+0/1440</f>
        <v>0.460416666666667</v>
      </c>
      <c r="I20" s="32" t="n">
        <f aca="false">H20+20/1440</f>
        <v>0.474305555555556</v>
      </c>
      <c r="J20" s="31" t="s">
        <v>97</v>
      </c>
      <c r="K20" s="33" t="s">
        <v>98</v>
      </c>
    </row>
    <row r="21" customFormat="false" ht="33.75" hidden="false" customHeight="true" outlineLevel="0" collapsed="false">
      <c r="A21" s="31" t="s">
        <v>81</v>
      </c>
      <c r="B21" s="31" t="n">
        <v>2</v>
      </c>
      <c r="C21" s="31" t="s">
        <v>30</v>
      </c>
      <c r="D21" s="31" t="s">
        <v>10</v>
      </c>
      <c r="E21" s="31" t="s">
        <v>108</v>
      </c>
      <c r="F21" s="31" t="s">
        <v>107</v>
      </c>
      <c r="G21" s="31" t="n">
        <v>19</v>
      </c>
      <c r="H21" s="32" t="n">
        <f aca="false">I20+G21/1440+0/1440</f>
        <v>0.4875</v>
      </c>
      <c r="I21" s="32" t="n">
        <f aca="false">H21+20/1440</f>
        <v>0.501388888888889</v>
      </c>
      <c r="J21" s="34" t="s">
        <v>109</v>
      </c>
      <c r="K21" s="33" t="s">
        <v>98</v>
      </c>
    </row>
    <row r="22" customFormat="false" ht="33.75" hidden="false" customHeight="true" outlineLevel="0" collapsed="false">
      <c r="A22" s="31" t="s">
        <v>81</v>
      </c>
      <c r="B22" s="31" t="n">
        <v>3</v>
      </c>
      <c r="C22" s="31" t="s">
        <v>32</v>
      </c>
      <c r="D22" s="31" t="s">
        <v>12</v>
      </c>
      <c r="E22" s="31" t="s">
        <v>113</v>
      </c>
      <c r="F22" s="31" t="s">
        <v>111</v>
      </c>
      <c r="G22" s="31" t="n">
        <v>37</v>
      </c>
      <c r="H22" s="32" t="n">
        <f aca="false">I21+G22/1440+0/1440</f>
        <v>0.527083333333333</v>
      </c>
      <c r="I22" s="32" t="n">
        <f aca="false">H22+20/1440</f>
        <v>0.540972222222222</v>
      </c>
      <c r="J22" s="31" t="s">
        <v>97</v>
      </c>
      <c r="K22" s="33" t="s">
        <v>98</v>
      </c>
    </row>
    <row r="23" customFormat="false" ht="33.75" hidden="false" customHeight="true" outlineLevel="0" collapsed="false">
      <c r="A23" s="31" t="s">
        <v>81</v>
      </c>
      <c r="B23" s="31" t="n">
        <v>4</v>
      </c>
      <c r="C23" s="31" t="s">
        <v>34</v>
      </c>
      <c r="D23" s="31" t="s">
        <v>12</v>
      </c>
      <c r="E23" s="31" t="s">
        <v>116</v>
      </c>
      <c r="F23" s="31" t="s">
        <v>111</v>
      </c>
      <c r="G23" s="31" t="n">
        <v>18</v>
      </c>
      <c r="H23" s="32" t="n">
        <f aca="false">I22+G23/1440+30/1440</f>
        <v>0.574305555555556</v>
      </c>
      <c r="I23" s="32" t="n">
        <f aca="false">H23+20/1440</f>
        <v>0.588194444444445</v>
      </c>
      <c r="J23" s="31" t="s">
        <v>97</v>
      </c>
      <c r="K23" s="33" t="s">
        <v>98</v>
      </c>
    </row>
    <row r="24" customFormat="false" ht="33.75" hidden="false" customHeight="true" outlineLevel="0" collapsed="false">
      <c r="A24" s="31" t="s">
        <v>81</v>
      </c>
      <c r="B24" s="31" t="n">
        <v>5</v>
      </c>
      <c r="C24" s="31" t="s">
        <v>36</v>
      </c>
      <c r="D24" s="31" t="s">
        <v>12</v>
      </c>
      <c r="E24" s="31" t="s">
        <v>119</v>
      </c>
      <c r="F24" s="31" t="s">
        <v>120</v>
      </c>
      <c r="G24" s="31" t="n">
        <v>27</v>
      </c>
      <c r="H24" s="32" t="n">
        <f aca="false">I23+G24/1440+0/1440</f>
        <v>0.606944444444444</v>
      </c>
      <c r="I24" s="32" t="n">
        <f aca="false">H24+20/1440</f>
        <v>0.620833333333333</v>
      </c>
      <c r="J24" s="31" t="s">
        <v>97</v>
      </c>
      <c r="K24" s="33" t="s">
        <v>98</v>
      </c>
    </row>
    <row r="25" customFormat="false" ht="15" hidden="false" customHeight="false" outlineLevel="0" collapsed="false">
      <c r="A25" s="16" t="s">
        <v>81</v>
      </c>
      <c r="B25" s="16" t="s">
        <v>104</v>
      </c>
      <c r="C25" s="16" t="s">
        <v>59</v>
      </c>
      <c r="D25" s="16"/>
      <c r="E25" s="16" t="s">
        <v>105</v>
      </c>
      <c r="F25" s="16" t="s">
        <v>93</v>
      </c>
      <c r="G25" s="16" t="n">
        <v>79</v>
      </c>
      <c r="H25" s="17" t="n">
        <f aca="false">I24+G25/1440+0/1440</f>
        <v>0.675694444444444</v>
      </c>
      <c r="I25" s="17" t="n">
        <f aca="false">H25</f>
        <v>0.675694444444444</v>
      </c>
      <c r="J25" s="16" t="s">
        <v>212</v>
      </c>
      <c r="K25" s="16"/>
    </row>
  </sheetData>
  <autoFilter ref="A2:K25"/>
  <hyperlinks>
    <hyperlink ref="K4" r:id="rId1" display="Open adres"/>
    <hyperlink ref="K5" r:id="rId2" display="Open adres"/>
    <hyperlink ref="K6" r:id="rId3" display="Open adres"/>
    <hyperlink ref="K7" r:id="rId4" display="Open adres"/>
    <hyperlink ref="K8" r:id="rId5" display="Open adres"/>
    <hyperlink ref="K9" r:id="rId6" display="Open adres"/>
    <hyperlink ref="K10" r:id="rId7" display="Open adres"/>
    <hyperlink ref="K14" r:id="rId8" display="Open adres"/>
    <hyperlink ref="K15" r:id="rId9" display="Open adres"/>
    <hyperlink ref="K16" r:id="rId10" display="Open adres"/>
    <hyperlink ref="K20" r:id="rId11" display="Open adres"/>
    <hyperlink ref="K21" r:id="rId12" display="Open adres"/>
    <hyperlink ref="K22" r:id="rId13" display="Open adres"/>
    <hyperlink ref="K23" r:id="rId14" display="Open adres"/>
    <hyperlink ref="K24" r:id="rId15" display="Open adr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C8" activeCellId="0" sqref="C8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9"/>
    <col collapsed="false" customWidth="true" hidden="false" outlineLevel="0" max="9" min="8" style="0" width="14"/>
    <col collapsed="false" customWidth="true" hidden="false" outlineLevel="0" max="10" min="10" style="0" width="26"/>
    <col collapsed="false" customWidth="true" hidden="false" outlineLevel="0" max="11" min="11" style="0" width="18"/>
  </cols>
  <sheetData>
    <row r="1" customFormat="false" ht="15.75" hidden="false" customHeight="true" outlineLevel="0" collapsed="false">
      <c r="A1" s="30" t="s">
        <v>121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false" outlineLevel="0" collapsed="false">
      <c r="A2" s="27" t="s">
        <v>5</v>
      </c>
      <c r="B2" s="27" t="s">
        <v>83</v>
      </c>
      <c r="C2" s="27" t="s">
        <v>3</v>
      </c>
      <c r="D2" s="27" t="s">
        <v>4</v>
      </c>
      <c r="E2" s="27" t="s">
        <v>84</v>
      </c>
      <c r="F2" s="27" t="s">
        <v>85</v>
      </c>
      <c r="G2" s="27" t="s">
        <v>86</v>
      </c>
      <c r="H2" s="27" t="s">
        <v>87</v>
      </c>
      <c r="I2" s="27" t="s">
        <v>88</v>
      </c>
      <c r="J2" s="27" t="s">
        <v>89</v>
      </c>
      <c r="K2" s="27" t="s">
        <v>90</v>
      </c>
    </row>
    <row r="3" customFormat="false" ht="15" hidden="false" customHeight="false" outlineLevel="0" collapsed="false">
      <c r="A3" s="16" t="s">
        <v>192</v>
      </c>
      <c r="B3" s="16" t="s">
        <v>91</v>
      </c>
      <c r="C3" s="16" t="s">
        <v>59</v>
      </c>
      <c r="D3" s="16"/>
      <c r="E3" s="16" t="s">
        <v>92</v>
      </c>
      <c r="F3" s="16" t="s">
        <v>93</v>
      </c>
      <c r="G3" s="16" t="n">
        <v>0</v>
      </c>
      <c r="H3" s="17" t="n">
        <v>0.395833333333333</v>
      </c>
      <c r="I3" s="17" t="n">
        <v>0.395833333333333</v>
      </c>
      <c r="J3" s="16" t="s">
        <v>94</v>
      </c>
      <c r="K3" s="16"/>
    </row>
    <row r="4" customFormat="false" ht="33.75" hidden="false" customHeight="true" outlineLevel="0" collapsed="false">
      <c r="A4" s="31" t="s">
        <v>192</v>
      </c>
      <c r="B4" s="31" t="n">
        <v>1</v>
      </c>
      <c r="C4" s="31" t="s">
        <v>213</v>
      </c>
      <c r="D4" s="31" t="s">
        <v>204</v>
      </c>
      <c r="E4" s="31" t="s">
        <v>214</v>
      </c>
      <c r="F4" s="31" t="s">
        <v>111</v>
      </c>
      <c r="G4" s="31" t="n">
        <v>82</v>
      </c>
      <c r="H4" s="32" t="n">
        <f aca="false">I3+G4/1440+0/1440</f>
        <v>0.452777777777778</v>
      </c>
      <c r="I4" s="32" t="n">
        <f aca="false">H4+20/1440</f>
        <v>0.466666666666667</v>
      </c>
      <c r="J4" s="31" t="s">
        <v>97</v>
      </c>
      <c r="K4" s="33" t="s">
        <v>98</v>
      </c>
    </row>
    <row r="5" customFormat="false" ht="33.75" hidden="false" customHeight="true" outlineLevel="0" collapsed="false">
      <c r="A5" s="31" t="s">
        <v>192</v>
      </c>
      <c r="B5" s="31" t="n">
        <v>2</v>
      </c>
      <c r="C5" s="31" t="s">
        <v>33</v>
      </c>
      <c r="D5" s="31" t="s">
        <v>12</v>
      </c>
      <c r="E5" s="31" t="s">
        <v>114</v>
      </c>
      <c r="F5" s="31" t="s">
        <v>111</v>
      </c>
      <c r="G5" s="31" t="n">
        <v>16</v>
      </c>
      <c r="H5" s="32" t="n">
        <f aca="false">I4+G5/1440+0/1440</f>
        <v>0.477777777777778</v>
      </c>
      <c r="I5" s="32" t="n">
        <f aca="false">H5+20/1440</f>
        <v>0.491666666666667</v>
      </c>
      <c r="J5" s="34" t="s">
        <v>206</v>
      </c>
      <c r="K5" s="33" t="s">
        <v>98</v>
      </c>
    </row>
    <row r="6" customFormat="false" ht="33.75" hidden="false" customHeight="true" outlineLevel="0" collapsed="false">
      <c r="A6" s="31" t="s">
        <v>192</v>
      </c>
      <c r="B6" s="31" t="n">
        <v>3</v>
      </c>
      <c r="C6" s="31" t="s">
        <v>31</v>
      </c>
      <c r="D6" s="31" t="s">
        <v>10</v>
      </c>
      <c r="E6" s="31" t="s">
        <v>110</v>
      </c>
      <c r="F6" s="31" t="s">
        <v>111</v>
      </c>
      <c r="G6" s="31" t="n">
        <v>17</v>
      </c>
      <c r="H6" s="32" t="n">
        <f aca="false">I5+G6/1440+0/1440</f>
        <v>0.503472222222222</v>
      </c>
      <c r="I6" s="32" t="n">
        <f aca="false">H6+20/1440+30/1440</f>
        <v>0.538194444444444</v>
      </c>
      <c r="J6" s="34" t="s">
        <v>109</v>
      </c>
      <c r="K6" s="33" t="s">
        <v>98</v>
      </c>
    </row>
    <row r="7" customFormat="false" ht="33.75" hidden="false" customHeight="true" outlineLevel="0" collapsed="false">
      <c r="A7" s="31" t="s">
        <v>192</v>
      </c>
      <c r="B7" s="31" t="n">
        <v>5</v>
      </c>
      <c r="C7" s="31" t="s">
        <v>35</v>
      </c>
      <c r="D7" s="31" t="s">
        <v>14</v>
      </c>
      <c r="E7" s="31" t="s">
        <v>117</v>
      </c>
      <c r="F7" s="31" t="s">
        <v>118</v>
      </c>
      <c r="G7" s="31" t="n">
        <v>30</v>
      </c>
      <c r="H7" s="32" t="n">
        <f aca="false">I6+G7/1440+30/1440</f>
        <v>0.579861111111111</v>
      </c>
      <c r="I7" s="32" t="n">
        <f aca="false">H7+20/1440</f>
        <v>0.59375</v>
      </c>
      <c r="J7" s="34" t="s">
        <v>127</v>
      </c>
      <c r="K7" s="33" t="s">
        <v>98</v>
      </c>
    </row>
    <row r="8" customFormat="false" ht="33.75" hidden="false" customHeight="true" outlineLevel="0" collapsed="false">
      <c r="A8" s="31" t="s">
        <v>192</v>
      </c>
      <c r="B8" s="31" t="n">
        <v>4</v>
      </c>
      <c r="C8" s="31" t="s">
        <v>215</v>
      </c>
      <c r="D8" s="31" t="s">
        <v>204</v>
      </c>
      <c r="E8" s="5" t="s">
        <v>216</v>
      </c>
      <c r="F8" s="31" t="s">
        <v>217</v>
      </c>
      <c r="G8" s="31" t="n">
        <v>86</v>
      </c>
      <c r="H8" s="32" t="n">
        <f aca="false">I7+G8/1440</f>
        <v>0.653472222222222</v>
      </c>
      <c r="I8" s="32" t="n">
        <f aca="false">H8+20/1440</f>
        <v>0.667361111111111</v>
      </c>
      <c r="J8" s="34" t="s">
        <v>97</v>
      </c>
      <c r="K8" s="33"/>
    </row>
    <row r="9" customFormat="false" ht="15" hidden="false" customHeight="false" outlineLevel="0" collapsed="false">
      <c r="A9" s="16" t="s">
        <v>192</v>
      </c>
      <c r="B9" s="16" t="s">
        <v>104</v>
      </c>
      <c r="C9" s="16" t="s">
        <v>59</v>
      </c>
      <c r="D9" s="16"/>
      <c r="E9" s="16" t="s">
        <v>105</v>
      </c>
      <c r="F9" s="16" t="s">
        <v>93</v>
      </c>
      <c r="G9" s="16" t="n">
        <v>47</v>
      </c>
      <c r="H9" s="17" t="n">
        <f aca="false">I8+G9/1440+0/1440</f>
        <v>0.7</v>
      </c>
      <c r="I9" s="17" t="n">
        <f aca="false">H9</f>
        <v>0.7</v>
      </c>
      <c r="J9" s="16" t="s">
        <v>212</v>
      </c>
      <c r="K9" s="16"/>
    </row>
    <row r="11" customFormat="false" ht="15" hidden="false" customHeight="false" outlineLevel="0" collapsed="false">
      <c r="A11" s="16" t="s">
        <v>80</v>
      </c>
      <c r="B11" s="16" t="s">
        <v>91</v>
      </c>
      <c r="C11" s="16" t="s">
        <v>59</v>
      </c>
      <c r="D11" s="16"/>
      <c r="E11" s="16" t="s">
        <v>92</v>
      </c>
      <c r="F11" s="16" t="s">
        <v>93</v>
      </c>
      <c r="G11" s="16" t="n">
        <v>0</v>
      </c>
      <c r="H11" s="17" t="n">
        <v>0.395833333333333</v>
      </c>
      <c r="I11" s="17" t="n">
        <v>0.395833333333333</v>
      </c>
      <c r="J11" s="16" t="s">
        <v>94</v>
      </c>
      <c r="K11" s="16"/>
    </row>
    <row r="12" customFormat="false" ht="33.75" hidden="false" customHeight="true" outlineLevel="0" collapsed="false">
      <c r="A12" s="31" t="s">
        <v>80</v>
      </c>
      <c r="B12" s="31" t="n">
        <v>1</v>
      </c>
      <c r="C12" s="31" t="s">
        <v>19</v>
      </c>
      <c r="D12" s="31" t="s">
        <v>14</v>
      </c>
      <c r="E12" s="31" t="s">
        <v>125</v>
      </c>
      <c r="F12" s="31" t="s">
        <v>126</v>
      </c>
      <c r="G12" s="31" t="n">
        <v>92</v>
      </c>
      <c r="H12" s="32" t="n">
        <f aca="false">I11+G12/1440+0/1440</f>
        <v>0.459722222222222</v>
      </c>
      <c r="I12" s="32" t="n">
        <f aca="false">H12+20/1440</f>
        <v>0.473611111111111</v>
      </c>
      <c r="J12" s="34" t="s">
        <v>127</v>
      </c>
      <c r="K12" s="33" t="s">
        <v>98</v>
      </c>
    </row>
    <row r="13" customFormat="false" ht="33.75" hidden="false" customHeight="true" outlineLevel="0" collapsed="false">
      <c r="A13" s="31" t="s">
        <v>80</v>
      </c>
      <c r="B13" s="31" t="n">
        <v>2</v>
      </c>
      <c r="C13" s="31" t="s">
        <v>20</v>
      </c>
      <c r="D13" s="31" t="s">
        <v>10</v>
      </c>
      <c r="E13" s="31" t="s">
        <v>128</v>
      </c>
      <c r="F13" s="31" t="s">
        <v>126</v>
      </c>
      <c r="G13" s="31" t="n">
        <v>14</v>
      </c>
      <c r="H13" s="32" t="n">
        <f aca="false">I12+G13/1440+0/1440</f>
        <v>0.483333333333333</v>
      </c>
      <c r="I13" s="32" t="n">
        <f aca="false">H13+20/1440</f>
        <v>0.497222222222222</v>
      </c>
      <c r="J13" s="31" t="s">
        <v>97</v>
      </c>
      <c r="K13" s="33" t="s">
        <v>98</v>
      </c>
    </row>
    <row r="14" customFormat="false" ht="33.75" hidden="false" customHeight="true" outlineLevel="0" collapsed="false">
      <c r="A14" s="31" t="s">
        <v>80</v>
      </c>
      <c r="B14" s="31" t="n">
        <v>4</v>
      </c>
      <c r="C14" s="31" t="s">
        <v>21</v>
      </c>
      <c r="D14" s="31" t="s">
        <v>10</v>
      </c>
      <c r="E14" s="31" t="s">
        <v>129</v>
      </c>
      <c r="F14" s="31" t="s">
        <v>130</v>
      </c>
      <c r="G14" s="31" t="n">
        <v>35</v>
      </c>
      <c r="H14" s="32" t="n">
        <f aca="false">I13+G14/1440+0/1440</f>
        <v>0.521527777777778</v>
      </c>
      <c r="I14" s="32" t="n">
        <f aca="false">H14+20/1440</f>
        <v>0.535416666666667</v>
      </c>
      <c r="J14" s="31" t="s">
        <v>97</v>
      </c>
      <c r="K14" s="33" t="s">
        <v>98</v>
      </c>
    </row>
    <row r="15" customFormat="false" ht="33.75" hidden="false" customHeight="true" outlineLevel="0" collapsed="false">
      <c r="A15" s="31" t="s">
        <v>80</v>
      </c>
      <c r="B15" s="31" t="n">
        <v>5</v>
      </c>
      <c r="C15" s="31" t="s">
        <v>22</v>
      </c>
      <c r="D15" s="31" t="s">
        <v>10</v>
      </c>
      <c r="E15" s="31" t="s">
        <v>131</v>
      </c>
      <c r="F15" s="31" t="s">
        <v>132</v>
      </c>
      <c r="G15" s="31" t="n">
        <v>25</v>
      </c>
      <c r="H15" s="32" t="n">
        <f aca="false">I14+G15/1440+30/1440</f>
        <v>0.573611111111111</v>
      </c>
      <c r="I15" s="32" t="n">
        <f aca="false">H15+20/1440</f>
        <v>0.5875</v>
      </c>
      <c r="J15" s="31" t="s">
        <v>97</v>
      </c>
      <c r="K15" s="33" t="s">
        <v>98</v>
      </c>
    </row>
    <row r="16" customFormat="false" ht="33.75" hidden="false" customHeight="true" outlineLevel="0" collapsed="false">
      <c r="A16" s="31" t="s">
        <v>80</v>
      </c>
      <c r="B16" s="31" t="n">
        <v>6</v>
      </c>
      <c r="C16" s="31" t="s">
        <v>23</v>
      </c>
      <c r="D16" s="31" t="s">
        <v>10</v>
      </c>
      <c r="E16" s="31" t="s">
        <v>133</v>
      </c>
      <c r="F16" s="31" t="s">
        <v>134</v>
      </c>
      <c r="G16" s="31" t="n">
        <v>40</v>
      </c>
      <c r="H16" s="32" t="n">
        <f aca="false">I15+G16/1440+0/1440</f>
        <v>0.615277777777778</v>
      </c>
      <c r="I16" s="32" t="n">
        <f aca="false">H16+20/1440</f>
        <v>0.629166666666667</v>
      </c>
      <c r="J16" s="31" t="s">
        <v>97</v>
      </c>
      <c r="K16" s="33" t="s">
        <v>98</v>
      </c>
    </row>
    <row r="17" customFormat="false" ht="15" hidden="false" customHeight="false" outlineLevel="0" collapsed="false">
      <c r="A17" s="16" t="s">
        <v>80</v>
      </c>
      <c r="B17" s="16" t="s">
        <v>104</v>
      </c>
      <c r="C17" s="16" t="s">
        <v>59</v>
      </c>
      <c r="D17" s="16"/>
      <c r="E17" s="16" t="s">
        <v>105</v>
      </c>
      <c r="F17" s="16" t="s">
        <v>93</v>
      </c>
      <c r="G17" s="16" t="n">
        <v>112</v>
      </c>
      <c r="H17" s="17" t="n">
        <f aca="false">I16+G17/1440+0/1440</f>
        <v>0.706944444444444</v>
      </c>
      <c r="I17" s="17" t="n">
        <f aca="false">H17</f>
        <v>0.706944444444444</v>
      </c>
      <c r="J17" s="16" t="s">
        <v>212</v>
      </c>
      <c r="K17" s="16"/>
    </row>
    <row r="19" customFormat="false" ht="15" hidden="false" customHeight="false" outlineLevel="0" collapsed="false">
      <c r="A19" s="16" t="s">
        <v>81</v>
      </c>
      <c r="B19" s="16" t="s">
        <v>91</v>
      </c>
      <c r="C19" s="16" t="s">
        <v>59</v>
      </c>
      <c r="D19" s="16"/>
      <c r="E19" s="16" t="s">
        <v>92</v>
      </c>
      <c r="F19" s="16" t="s">
        <v>93</v>
      </c>
      <c r="G19" s="16" t="n">
        <v>0</v>
      </c>
      <c r="H19" s="17" t="n">
        <v>0.395833333333333</v>
      </c>
      <c r="I19" s="17" t="n">
        <v>0.395833333333333</v>
      </c>
      <c r="J19" s="16" t="s">
        <v>94</v>
      </c>
      <c r="K19" s="16"/>
    </row>
    <row r="20" customFormat="false" ht="33.75" hidden="false" customHeight="true" outlineLevel="0" collapsed="false">
      <c r="A20" s="31" t="s">
        <v>81</v>
      </c>
      <c r="B20" s="31" t="n">
        <v>1</v>
      </c>
      <c r="C20" s="31" t="s">
        <v>42</v>
      </c>
      <c r="D20" s="31" t="s">
        <v>12</v>
      </c>
      <c r="E20" s="31" t="s">
        <v>142</v>
      </c>
      <c r="F20" s="31" t="s">
        <v>93</v>
      </c>
      <c r="G20" s="31" t="n">
        <v>23</v>
      </c>
      <c r="H20" s="32" t="n">
        <f aca="false">I19+G20/1440+0/1440</f>
        <v>0.411805555555556</v>
      </c>
      <c r="I20" s="32" t="n">
        <f aca="false">H20+20/1440</f>
        <v>0.425694444444444</v>
      </c>
      <c r="J20" s="31" t="s">
        <v>97</v>
      </c>
      <c r="K20" s="33" t="s">
        <v>98</v>
      </c>
    </row>
    <row r="21" customFormat="false" ht="33.75" hidden="false" customHeight="true" outlineLevel="0" collapsed="false">
      <c r="A21" s="31" t="s">
        <v>81</v>
      </c>
      <c r="B21" s="31" t="n">
        <v>2</v>
      </c>
      <c r="C21" s="31" t="s">
        <v>41</v>
      </c>
      <c r="D21" s="31" t="s">
        <v>12</v>
      </c>
      <c r="E21" s="31" t="s">
        <v>141</v>
      </c>
      <c r="F21" s="31" t="s">
        <v>93</v>
      </c>
      <c r="G21" s="31" t="n">
        <v>4</v>
      </c>
      <c r="H21" s="32" t="n">
        <f aca="false">I20+G21/1440+0/1440</f>
        <v>0.428472222222222</v>
      </c>
      <c r="I21" s="32" t="n">
        <f aca="false">H21+20/1440</f>
        <v>0.442361111111111</v>
      </c>
      <c r="J21" s="31" t="s">
        <v>97</v>
      </c>
      <c r="K21" s="33" t="s">
        <v>98</v>
      </c>
    </row>
    <row r="22" customFormat="false" ht="33.75" hidden="false" customHeight="true" outlineLevel="0" collapsed="false">
      <c r="A22" s="31" t="s">
        <v>81</v>
      </c>
      <c r="B22" s="31" t="n">
        <v>3</v>
      </c>
      <c r="C22" s="31" t="s">
        <v>40</v>
      </c>
      <c r="D22" s="31" t="s">
        <v>12</v>
      </c>
      <c r="E22" s="31" t="s">
        <v>140</v>
      </c>
      <c r="F22" s="31" t="s">
        <v>93</v>
      </c>
      <c r="G22" s="31" t="n">
        <v>5</v>
      </c>
      <c r="H22" s="32" t="n">
        <f aca="false">I21+G22/1440+0/1440</f>
        <v>0.445833333333333</v>
      </c>
      <c r="I22" s="32" t="n">
        <f aca="false">H22+20/1440</f>
        <v>0.459722222222222</v>
      </c>
      <c r="J22" s="31" t="s">
        <v>97</v>
      </c>
      <c r="K22" s="33" t="s">
        <v>98</v>
      </c>
    </row>
    <row r="23" customFormat="false" ht="33.75" hidden="false" customHeight="true" outlineLevel="0" collapsed="false">
      <c r="A23" s="31" t="s">
        <v>81</v>
      </c>
      <c r="B23" s="31" t="n">
        <v>4</v>
      </c>
      <c r="C23" s="31" t="s">
        <v>43</v>
      </c>
      <c r="D23" s="31" t="s">
        <v>12</v>
      </c>
      <c r="E23" s="31" t="s">
        <v>143</v>
      </c>
      <c r="F23" s="31" t="s">
        <v>93</v>
      </c>
      <c r="G23" s="31" t="n">
        <v>25</v>
      </c>
      <c r="H23" s="32" t="n">
        <f aca="false">I22+G23/1440+30/1440</f>
        <v>0.497916666666667</v>
      </c>
      <c r="I23" s="32" t="n">
        <f aca="false">H23+20/1440</f>
        <v>0.511805555555556</v>
      </c>
      <c r="J23" s="31" t="s">
        <v>97</v>
      </c>
      <c r="K23" s="33" t="s">
        <v>98</v>
      </c>
    </row>
    <row r="24" customFormat="false" ht="33.75" hidden="false" customHeight="true" outlineLevel="0" collapsed="false">
      <c r="A24" s="31" t="s">
        <v>81</v>
      </c>
      <c r="B24" s="31" t="n">
        <v>5</v>
      </c>
      <c r="C24" s="31" t="s">
        <v>44</v>
      </c>
      <c r="D24" s="31" t="s">
        <v>12</v>
      </c>
      <c r="E24" s="31" t="s">
        <v>144</v>
      </c>
      <c r="F24" s="31" t="s">
        <v>93</v>
      </c>
      <c r="G24" s="31" t="n">
        <v>22</v>
      </c>
      <c r="H24" s="32" t="n">
        <f aca="false">I23+G24/1440+0/1440</f>
        <v>0.527083333333333</v>
      </c>
      <c r="I24" s="32" t="n">
        <f aca="false">H24+20/1440</f>
        <v>0.540972222222222</v>
      </c>
      <c r="J24" s="31" t="s">
        <v>97</v>
      </c>
      <c r="K24" s="33" t="s">
        <v>98</v>
      </c>
    </row>
    <row r="25" customFormat="false" ht="33.75" hidden="false" customHeight="true" outlineLevel="0" collapsed="false">
      <c r="A25" s="31" t="s">
        <v>81</v>
      </c>
      <c r="B25" s="31" t="n">
        <v>6</v>
      </c>
      <c r="C25" s="31" t="s">
        <v>45</v>
      </c>
      <c r="D25" s="31" t="s">
        <v>12</v>
      </c>
      <c r="E25" s="31" t="s">
        <v>145</v>
      </c>
      <c r="F25" s="31" t="s">
        <v>146</v>
      </c>
      <c r="G25" s="31" t="n">
        <v>17</v>
      </c>
      <c r="H25" s="32" t="n">
        <f aca="false">I24+G25/1440+0/1440</f>
        <v>0.552777777777778</v>
      </c>
      <c r="I25" s="32" t="n">
        <f aca="false">H25+20/1440</f>
        <v>0.566666666666667</v>
      </c>
      <c r="J25" s="31" t="s">
        <v>97</v>
      </c>
      <c r="K25" s="33" t="s">
        <v>98</v>
      </c>
    </row>
    <row r="26" customFormat="false" ht="33.75" hidden="false" customHeight="true" outlineLevel="0" collapsed="false">
      <c r="A26" s="31" t="s">
        <v>81</v>
      </c>
      <c r="B26" s="31" t="n">
        <v>7</v>
      </c>
      <c r="C26" s="31" t="s">
        <v>46</v>
      </c>
      <c r="D26" s="31" t="s">
        <v>12</v>
      </c>
      <c r="E26" s="31" t="s">
        <v>147</v>
      </c>
      <c r="F26" s="31" t="s">
        <v>148</v>
      </c>
      <c r="G26" s="31" t="n">
        <v>31</v>
      </c>
      <c r="H26" s="32" t="n">
        <f aca="false">I25+G26/1440+0/1440</f>
        <v>0.588194444444445</v>
      </c>
      <c r="I26" s="32" t="n">
        <f aca="false">H26+20/1440</f>
        <v>0.602083333333333</v>
      </c>
      <c r="J26" s="31" t="s">
        <v>97</v>
      </c>
      <c r="K26" s="33" t="s">
        <v>98</v>
      </c>
    </row>
    <row r="27" customFormat="false" ht="15" hidden="false" customHeight="false" outlineLevel="0" collapsed="false">
      <c r="A27" s="16" t="s">
        <v>81</v>
      </c>
      <c r="B27" s="16" t="s">
        <v>104</v>
      </c>
      <c r="C27" s="16" t="s">
        <v>59</v>
      </c>
      <c r="D27" s="16"/>
      <c r="E27" s="16" t="s">
        <v>105</v>
      </c>
      <c r="F27" s="16" t="s">
        <v>93</v>
      </c>
      <c r="G27" s="16" t="n">
        <v>38</v>
      </c>
      <c r="H27" s="17" t="n">
        <f aca="false">I26+G27/1440+0/1440</f>
        <v>0.628472222222222</v>
      </c>
      <c r="I27" s="17" t="n">
        <f aca="false">H27</f>
        <v>0.628472222222222</v>
      </c>
      <c r="J27" s="16" t="s">
        <v>212</v>
      </c>
      <c r="K27" s="16"/>
    </row>
  </sheetData>
  <autoFilter ref="A2:K27"/>
  <hyperlinks>
    <hyperlink ref="K4" r:id="rId1" display="Open adres"/>
    <hyperlink ref="K5" r:id="rId2" display="Open adres"/>
    <hyperlink ref="K6" r:id="rId3" display="Open adres"/>
    <hyperlink ref="K7" r:id="rId4" display="Open adres"/>
    <hyperlink ref="K12" r:id="rId5" display="Open adres"/>
    <hyperlink ref="K13" r:id="rId6" display="Open adres"/>
    <hyperlink ref="K14" r:id="rId7" display="Open adres"/>
    <hyperlink ref="K15" r:id="rId8" display="Open adres"/>
    <hyperlink ref="K16" r:id="rId9" display="Open adres"/>
    <hyperlink ref="K20" r:id="rId10" display="Open adres"/>
    <hyperlink ref="K21" r:id="rId11" display="Open adres"/>
    <hyperlink ref="K22" r:id="rId12" display="Open adres"/>
    <hyperlink ref="K23" r:id="rId13" display="Open adres"/>
    <hyperlink ref="K24" r:id="rId14" display="Open adres"/>
    <hyperlink ref="K25" r:id="rId15" display="Open adres"/>
    <hyperlink ref="K26" r:id="rId16" display="Open adr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J8" activeCellId="0" sqref="J8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9"/>
    <col collapsed="false" customWidth="true" hidden="false" outlineLevel="0" max="9" min="8" style="0" width="14"/>
    <col collapsed="false" customWidth="true" hidden="false" outlineLevel="0" max="10" min="10" style="0" width="26"/>
    <col collapsed="false" customWidth="true" hidden="false" outlineLevel="0" max="11" min="11" style="0" width="18"/>
  </cols>
  <sheetData>
    <row r="1" customFormat="false" ht="15.75" hidden="false" customHeight="true" outlineLevel="0" collapsed="false">
      <c r="A1" s="30" t="s">
        <v>149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false" outlineLevel="0" collapsed="false">
      <c r="A2" s="27" t="s">
        <v>5</v>
      </c>
      <c r="B2" s="27" t="s">
        <v>83</v>
      </c>
      <c r="C2" s="27" t="s">
        <v>3</v>
      </c>
      <c r="D2" s="27" t="s">
        <v>4</v>
      </c>
      <c r="E2" s="27" t="s">
        <v>84</v>
      </c>
      <c r="F2" s="27" t="s">
        <v>85</v>
      </c>
      <c r="G2" s="27" t="s">
        <v>86</v>
      </c>
      <c r="H2" s="27" t="s">
        <v>87</v>
      </c>
      <c r="I2" s="27" t="s">
        <v>88</v>
      </c>
      <c r="J2" s="27" t="s">
        <v>89</v>
      </c>
      <c r="K2" s="27" t="s">
        <v>90</v>
      </c>
    </row>
    <row r="3" customFormat="false" ht="15" hidden="false" customHeight="false" outlineLevel="0" collapsed="false">
      <c r="A3" s="16" t="s">
        <v>192</v>
      </c>
      <c r="B3" s="16" t="s">
        <v>91</v>
      </c>
      <c r="C3" s="16" t="s">
        <v>59</v>
      </c>
      <c r="D3" s="16"/>
      <c r="E3" s="16" t="s">
        <v>92</v>
      </c>
      <c r="F3" s="16" t="s">
        <v>93</v>
      </c>
      <c r="G3" s="16" t="n">
        <v>0</v>
      </c>
      <c r="H3" s="17" t="n">
        <v>0.395833333333333</v>
      </c>
      <c r="I3" s="17" t="n">
        <v>0.395833333333333</v>
      </c>
      <c r="J3" s="16" t="s">
        <v>94</v>
      </c>
      <c r="K3" s="16"/>
    </row>
    <row r="4" customFormat="false" ht="33.75" hidden="false" customHeight="true" outlineLevel="0" collapsed="false">
      <c r="A4" s="31" t="s">
        <v>192</v>
      </c>
      <c r="B4" s="31" t="n">
        <v>1</v>
      </c>
      <c r="C4" s="31" t="s">
        <v>55</v>
      </c>
      <c r="D4" s="31" t="s">
        <v>12</v>
      </c>
      <c r="E4" s="31" t="s">
        <v>166</v>
      </c>
      <c r="F4" s="31" t="s">
        <v>167</v>
      </c>
      <c r="G4" s="31" t="n">
        <v>24</v>
      </c>
      <c r="H4" s="32" t="n">
        <f aca="false">I3+G4/1440+0/1440</f>
        <v>0.4125</v>
      </c>
      <c r="I4" s="32" t="n">
        <f aca="false">H4+20/1440</f>
        <v>0.426388888888889</v>
      </c>
      <c r="J4" s="34" t="s">
        <v>206</v>
      </c>
      <c r="K4" s="33" t="s">
        <v>98</v>
      </c>
    </row>
    <row r="5" customFormat="false" ht="33.75" hidden="false" customHeight="true" outlineLevel="0" collapsed="false">
      <c r="A5" s="31" t="s">
        <v>192</v>
      </c>
      <c r="B5" s="31" t="n">
        <v>2</v>
      </c>
      <c r="C5" s="31" t="s">
        <v>54</v>
      </c>
      <c r="D5" s="31" t="s">
        <v>16</v>
      </c>
      <c r="E5" s="31" t="s">
        <v>165</v>
      </c>
      <c r="F5" s="31" t="s">
        <v>93</v>
      </c>
      <c r="G5" s="31" t="n">
        <v>18</v>
      </c>
      <c r="H5" s="32" t="n">
        <f aca="false">I4+G5/1440+0/1440</f>
        <v>0.438888888888889</v>
      </c>
      <c r="I5" s="32" t="n">
        <f aca="false">H5+20/1440</f>
        <v>0.452777777777778</v>
      </c>
      <c r="J5" s="34" t="s">
        <v>218</v>
      </c>
      <c r="K5" s="33" t="s">
        <v>98</v>
      </c>
    </row>
    <row r="6" customFormat="false" ht="33.75" hidden="false" customHeight="true" outlineLevel="0" collapsed="false">
      <c r="A6" s="31" t="s">
        <v>192</v>
      </c>
      <c r="B6" s="31" t="n">
        <v>3</v>
      </c>
      <c r="C6" s="31" t="s">
        <v>39</v>
      </c>
      <c r="D6" s="31" t="s">
        <v>16</v>
      </c>
      <c r="E6" s="31" t="s">
        <v>138</v>
      </c>
      <c r="F6" s="31" t="s">
        <v>93</v>
      </c>
      <c r="G6" s="31" t="n">
        <v>15</v>
      </c>
      <c r="H6" s="32" t="n">
        <f aca="false">I5+G6/1440+0/1440</f>
        <v>0.463194444444444</v>
      </c>
      <c r="I6" s="32" t="n">
        <f aca="false">H6+20/1440</f>
        <v>0.477083333333333</v>
      </c>
      <c r="J6" s="34" t="s">
        <v>218</v>
      </c>
      <c r="K6" s="33" t="s">
        <v>98</v>
      </c>
    </row>
    <row r="7" customFormat="false" ht="33.75" hidden="false" customHeight="true" outlineLevel="0" collapsed="false">
      <c r="A7" s="31" t="s">
        <v>192</v>
      </c>
      <c r="B7" s="31" t="n">
        <v>4</v>
      </c>
      <c r="C7" s="31" t="s">
        <v>52</v>
      </c>
      <c r="D7" s="31" t="s">
        <v>10</v>
      </c>
      <c r="E7" s="31" t="s">
        <v>162</v>
      </c>
      <c r="F7" s="31" t="s">
        <v>93</v>
      </c>
      <c r="G7" s="31" t="n">
        <v>18</v>
      </c>
      <c r="H7" s="32" t="n">
        <f aca="false">I6+G7/1440+30/1440</f>
        <v>0.510416666666667</v>
      </c>
      <c r="I7" s="32" t="n">
        <f aca="false">H7+20/1440</f>
        <v>0.524305555555556</v>
      </c>
      <c r="J7" s="34" t="s">
        <v>109</v>
      </c>
      <c r="K7" s="33" t="s">
        <v>98</v>
      </c>
    </row>
    <row r="8" customFormat="false" ht="33.75" hidden="false" customHeight="true" outlineLevel="0" collapsed="false">
      <c r="A8" s="31" t="s">
        <v>192</v>
      </c>
      <c r="B8" s="31" t="n">
        <v>5</v>
      </c>
      <c r="C8" s="31" t="s">
        <v>17</v>
      </c>
      <c r="D8" s="31" t="s">
        <v>14</v>
      </c>
      <c r="E8" s="31" t="s">
        <v>219</v>
      </c>
      <c r="F8" s="31" t="s">
        <v>123</v>
      </c>
      <c r="G8" s="32" t="n">
        <v>0.0826388888888889</v>
      </c>
      <c r="H8" s="32" t="n">
        <v>0.606944444444444</v>
      </c>
      <c r="I8" s="32" t="n">
        <v>0.620833333333333</v>
      </c>
      <c r="J8" s="34" t="s">
        <v>220</v>
      </c>
      <c r="K8" s="33"/>
    </row>
    <row r="9" customFormat="false" ht="15" hidden="false" customHeight="false" outlineLevel="0" collapsed="false">
      <c r="A9" s="16" t="s">
        <v>192</v>
      </c>
      <c r="B9" s="16" t="s">
        <v>104</v>
      </c>
      <c r="C9" s="16" t="s">
        <v>59</v>
      </c>
      <c r="D9" s="16"/>
      <c r="E9" s="16" t="s">
        <v>105</v>
      </c>
      <c r="F9" s="16" t="s">
        <v>93</v>
      </c>
      <c r="G9" s="17" t="n">
        <v>0.0763888888888889</v>
      </c>
      <c r="H9" s="17" t="n">
        <v>0.697222222222222</v>
      </c>
      <c r="I9" s="17" t="n">
        <f aca="false">H9</f>
        <v>0.697222222222222</v>
      </c>
      <c r="J9" s="16" t="s">
        <v>212</v>
      </c>
      <c r="K9" s="16"/>
    </row>
    <row r="11" customFormat="false" ht="15" hidden="false" customHeight="false" outlineLevel="0" collapsed="false">
      <c r="A11" s="16" t="s">
        <v>80</v>
      </c>
      <c r="B11" s="16" t="s">
        <v>91</v>
      </c>
      <c r="C11" s="16" t="s">
        <v>59</v>
      </c>
      <c r="D11" s="16"/>
      <c r="E11" s="16" t="s">
        <v>92</v>
      </c>
      <c r="F11" s="16" t="s">
        <v>93</v>
      </c>
      <c r="G11" s="16" t="n">
        <v>0</v>
      </c>
      <c r="H11" s="17" t="n">
        <v>0.395833333333333</v>
      </c>
      <c r="I11" s="17" t="n">
        <v>0.395833333333333</v>
      </c>
      <c r="J11" s="16" t="s">
        <v>94</v>
      </c>
      <c r="K11" s="16"/>
    </row>
    <row r="12" customFormat="false" ht="33.75" hidden="false" customHeight="true" outlineLevel="0" collapsed="false">
      <c r="A12" s="31" t="s">
        <v>80</v>
      </c>
      <c r="B12" s="31" t="n">
        <v>1</v>
      </c>
      <c r="C12" s="31" t="s">
        <v>24</v>
      </c>
      <c r="D12" s="31" t="s">
        <v>10</v>
      </c>
      <c r="E12" s="31" t="s">
        <v>150</v>
      </c>
      <c r="F12" s="31" t="s">
        <v>151</v>
      </c>
      <c r="G12" s="31" t="n">
        <v>132</v>
      </c>
      <c r="H12" s="32" t="n">
        <f aca="false">I11+G12/1440+0/1440</f>
        <v>0.4875</v>
      </c>
      <c r="I12" s="32" t="n">
        <f aca="false">H12+20/1440</f>
        <v>0.501388888888889</v>
      </c>
      <c r="J12" s="31" t="s">
        <v>97</v>
      </c>
      <c r="K12" s="33" t="s">
        <v>98</v>
      </c>
    </row>
    <row r="13" customFormat="false" ht="33.75" hidden="false" customHeight="true" outlineLevel="0" collapsed="false">
      <c r="A13" s="31" t="s">
        <v>80</v>
      </c>
      <c r="B13" s="31" t="n">
        <v>2</v>
      </c>
      <c r="C13" s="31" t="s">
        <v>25</v>
      </c>
      <c r="D13" s="31" t="s">
        <v>10</v>
      </c>
      <c r="E13" s="31" t="s">
        <v>152</v>
      </c>
      <c r="F13" s="31" t="s">
        <v>153</v>
      </c>
      <c r="G13" s="31" t="n">
        <v>97</v>
      </c>
      <c r="H13" s="32" t="n">
        <f aca="false">I12+G13/1440+0/1440</f>
        <v>0.56875</v>
      </c>
      <c r="I13" s="32" t="n">
        <f aca="false">H13+20/1440</f>
        <v>0.582638888888889</v>
      </c>
      <c r="J13" s="31" t="s">
        <v>97</v>
      </c>
      <c r="K13" s="33" t="s">
        <v>98</v>
      </c>
    </row>
    <row r="14" customFormat="false" ht="33.75" hidden="false" customHeight="true" outlineLevel="0" collapsed="false">
      <c r="A14" s="31" t="s">
        <v>80</v>
      </c>
      <c r="B14" s="31" t="n">
        <v>3</v>
      </c>
      <c r="C14" s="31" t="s">
        <v>26</v>
      </c>
      <c r="D14" s="31" t="s">
        <v>14</v>
      </c>
      <c r="E14" s="31" t="s">
        <v>221</v>
      </c>
      <c r="F14" s="31" t="s">
        <v>153</v>
      </c>
      <c r="G14" s="31" t="n">
        <v>5</v>
      </c>
      <c r="H14" s="32" t="n">
        <f aca="false">I13+G14/1440+0/1440</f>
        <v>0.586111111111111</v>
      </c>
      <c r="I14" s="32" t="n">
        <v>0.600694444444444</v>
      </c>
      <c r="J14" s="31"/>
      <c r="K14" s="33"/>
    </row>
    <row r="15" customFormat="false" ht="33.75" hidden="false" customHeight="true" outlineLevel="0" collapsed="false">
      <c r="A15" s="31" t="s">
        <v>80</v>
      </c>
      <c r="B15" s="31" t="n">
        <v>4</v>
      </c>
      <c r="C15" s="31" t="s">
        <v>27</v>
      </c>
      <c r="D15" s="31" t="s">
        <v>10</v>
      </c>
      <c r="E15" s="31" t="s">
        <v>155</v>
      </c>
      <c r="F15" s="31" t="s">
        <v>93</v>
      </c>
      <c r="G15" s="31" t="n">
        <v>39</v>
      </c>
      <c r="H15" s="32" t="n">
        <f aca="false">I14+G15/1440+0/1440</f>
        <v>0.627777777777778</v>
      </c>
      <c r="I15" s="32" t="n">
        <f aca="false">H15+20/1440</f>
        <v>0.641666666666667</v>
      </c>
      <c r="J15" s="31" t="s">
        <v>97</v>
      </c>
      <c r="K15" s="33" t="s">
        <v>98</v>
      </c>
    </row>
    <row r="16" customFormat="false" ht="33.75" hidden="false" customHeight="true" outlineLevel="0" collapsed="false">
      <c r="A16" s="31" t="s">
        <v>80</v>
      </c>
      <c r="B16" s="31" t="n">
        <v>5</v>
      </c>
      <c r="C16" s="31" t="s">
        <v>28</v>
      </c>
      <c r="D16" s="31" t="s">
        <v>10</v>
      </c>
      <c r="E16" s="31" t="s">
        <v>156</v>
      </c>
      <c r="F16" s="31" t="s">
        <v>93</v>
      </c>
      <c r="G16" s="31" t="n">
        <v>29</v>
      </c>
      <c r="H16" s="32" t="n">
        <f aca="false">I15+G16/1440+30/1440</f>
        <v>0.682638888888889</v>
      </c>
      <c r="I16" s="32" t="n">
        <f aca="false">H16+20/1440</f>
        <v>0.696527777777778</v>
      </c>
      <c r="J16" s="31" t="s">
        <v>97</v>
      </c>
      <c r="K16" s="33" t="s">
        <v>98</v>
      </c>
    </row>
    <row r="17" customFormat="false" ht="15" hidden="false" customHeight="false" outlineLevel="0" collapsed="false">
      <c r="A17" s="16" t="s">
        <v>80</v>
      </c>
      <c r="B17" s="16" t="s">
        <v>104</v>
      </c>
      <c r="C17" s="16" t="s">
        <v>59</v>
      </c>
      <c r="D17" s="16"/>
      <c r="E17" s="16" t="s">
        <v>105</v>
      </c>
      <c r="F17" s="16" t="s">
        <v>93</v>
      </c>
      <c r="G17" s="16" t="n">
        <v>26</v>
      </c>
      <c r="H17" s="17" t="n">
        <f aca="false">I16+G17/1440+0/1440</f>
        <v>0.714583333333333</v>
      </c>
      <c r="I17" s="17" t="n">
        <f aca="false">H17</f>
        <v>0.714583333333333</v>
      </c>
      <c r="J17" s="16" t="s">
        <v>212</v>
      </c>
      <c r="K17" s="16"/>
    </row>
    <row r="19" customFormat="false" ht="15" hidden="false" customHeight="false" outlineLevel="0" collapsed="false">
      <c r="A19" s="16" t="s">
        <v>81</v>
      </c>
      <c r="B19" s="16" t="s">
        <v>91</v>
      </c>
      <c r="C19" s="16" t="s">
        <v>59</v>
      </c>
      <c r="D19" s="16"/>
      <c r="E19" s="16" t="s">
        <v>92</v>
      </c>
      <c r="F19" s="16" t="s">
        <v>93</v>
      </c>
      <c r="G19" s="16" t="n">
        <v>0</v>
      </c>
      <c r="H19" s="17" t="n">
        <v>0.395833333333333</v>
      </c>
      <c r="I19" s="17" t="n">
        <v>0.395833333333333</v>
      </c>
      <c r="J19" s="16" t="s">
        <v>94</v>
      </c>
      <c r="K19" s="16"/>
    </row>
    <row r="20" customFormat="false" ht="33.75" hidden="false" customHeight="true" outlineLevel="0" collapsed="false">
      <c r="A20" s="31" t="s">
        <v>81</v>
      </c>
      <c r="B20" s="31" t="n">
        <v>1</v>
      </c>
      <c r="C20" s="31" t="s">
        <v>51</v>
      </c>
      <c r="D20" s="31" t="s">
        <v>10</v>
      </c>
      <c r="E20" s="31" t="s">
        <v>161</v>
      </c>
      <c r="F20" s="31" t="s">
        <v>93</v>
      </c>
      <c r="G20" s="31" t="n">
        <v>22</v>
      </c>
      <c r="H20" s="32" t="n">
        <f aca="false">I19+G20/1440+0/1440</f>
        <v>0.411111111111111</v>
      </c>
      <c r="I20" s="32" t="n">
        <f aca="false">H20+20/1440</f>
        <v>0.425</v>
      </c>
      <c r="J20" s="34" t="s">
        <v>109</v>
      </c>
      <c r="K20" s="33" t="s">
        <v>98</v>
      </c>
    </row>
    <row r="21" customFormat="false" ht="33.75" hidden="false" customHeight="true" outlineLevel="0" collapsed="false">
      <c r="A21" s="31" t="s">
        <v>81</v>
      </c>
      <c r="B21" s="31" t="n">
        <v>2</v>
      </c>
      <c r="C21" s="31" t="s">
        <v>48</v>
      </c>
      <c r="D21" s="31" t="s">
        <v>10</v>
      </c>
      <c r="E21" s="31" t="s">
        <v>158</v>
      </c>
      <c r="F21" s="31" t="s">
        <v>93</v>
      </c>
      <c r="G21" s="31" t="n">
        <v>13</v>
      </c>
      <c r="H21" s="32" t="n">
        <f aca="false">I20+G21/1440+0/1440</f>
        <v>0.434027777777778</v>
      </c>
      <c r="I21" s="32" t="n">
        <f aca="false">H21+20/1440</f>
        <v>0.447916666666667</v>
      </c>
      <c r="J21" s="34" t="s">
        <v>109</v>
      </c>
      <c r="K21" s="33" t="s">
        <v>98</v>
      </c>
    </row>
    <row r="22" customFormat="false" ht="33.75" hidden="false" customHeight="true" outlineLevel="0" collapsed="false">
      <c r="A22" s="31" t="s">
        <v>81</v>
      </c>
      <c r="B22" s="31" t="n">
        <v>3</v>
      </c>
      <c r="C22" s="31" t="s">
        <v>49</v>
      </c>
      <c r="D22" s="31" t="s">
        <v>12</v>
      </c>
      <c r="E22" s="31" t="s">
        <v>159</v>
      </c>
      <c r="F22" s="31" t="s">
        <v>93</v>
      </c>
      <c r="G22" s="31" t="n">
        <v>9</v>
      </c>
      <c r="H22" s="32" t="n">
        <f aca="false">I21+G22/1440+0/1440</f>
        <v>0.454166666666667</v>
      </c>
      <c r="I22" s="32" t="n">
        <f aca="false">H22+20/1440</f>
        <v>0.468055555555556</v>
      </c>
      <c r="J22" s="31" t="s">
        <v>97</v>
      </c>
      <c r="K22" s="33" t="s">
        <v>98</v>
      </c>
    </row>
    <row r="23" customFormat="false" ht="33.75" hidden="false" customHeight="true" outlineLevel="0" collapsed="false">
      <c r="A23" s="31" t="s">
        <v>81</v>
      </c>
      <c r="B23" s="31" t="n">
        <v>4</v>
      </c>
      <c r="C23" s="31" t="s">
        <v>50</v>
      </c>
      <c r="D23" s="31" t="s">
        <v>12</v>
      </c>
      <c r="E23" s="31" t="s">
        <v>160</v>
      </c>
      <c r="F23" s="31" t="s">
        <v>93</v>
      </c>
      <c r="G23" s="31" t="n">
        <v>10</v>
      </c>
      <c r="H23" s="32" t="n">
        <f aca="false">I22+G23/1440+30/1440</f>
        <v>0.495833333333333</v>
      </c>
      <c r="I23" s="32" t="n">
        <f aca="false">H23+20/1440</f>
        <v>0.509722222222222</v>
      </c>
      <c r="J23" s="31" t="s">
        <v>97</v>
      </c>
      <c r="K23" s="33" t="s">
        <v>98</v>
      </c>
    </row>
    <row r="24" customFormat="false" ht="33.75" hidden="false" customHeight="true" outlineLevel="0" collapsed="false">
      <c r="A24" s="31" t="s">
        <v>81</v>
      </c>
      <c r="B24" s="31" t="n">
        <v>5</v>
      </c>
      <c r="C24" s="31" t="s">
        <v>53</v>
      </c>
      <c r="D24" s="31" t="s">
        <v>12</v>
      </c>
      <c r="E24" s="31" t="s">
        <v>164</v>
      </c>
      <c r="F24" s="31" t="s">
        <v>93</v>
      </c>
      <c r="G24" s="31" t="n">
        <v>14</v>
      </c>
      <c r="H24" s="32" t="n">
        <f aca="false">I23+G24/1440+0/1440</f>
        <v>0.519444444444445</v>
      </c>
      <c r="I24" s="32" t="n">
        <f aca="false">H24+20/1440</f>
        <v>0.533333333333333</v>
      </c>
      <c r="J24" s="31" t="s">
        <v>97</v>
      </c>
      <c r="K24" s="33" t="s">
        <v>98</v>
      </c>
    </row>
    <row r="25" customFormat="false" ht="33.75" hidden="false" customHeight="true" outlineLevel="0" collapsed="false">
      <c r="A25" s="31" t="s">
        <v>81</v>
      </c>
      <c r="B25" s="31" t="n">
        <v>6</v>
      </c>
      <c r="C25" s="31" t="s">
        <v>56</v>
      </c>
      <c r="D25" s="31" t="s">
        <v>14</v>
      </c>
      <c r="E25" s="31" t="s">
        <v>169</v>
      </c>
      <c r="F25" s="31" t="s">
        <v>170</v>
      </c>
      <c r="G25" s="31" t="n">
        <v>36</v>
      </c>
      <c r="H25" s="32" t="n">
        <f aca="false">I24+G25/1440+0/1440</f>
        <v>0.558333333333333</v>
      </c>
      <c r="I25" s="32" t="n">
        <f aca="false">H25+20/1440</f>
        <v>0.572222222222222</v>
      </c>
      <c r="J25" s="31" t="s">
        <v>97</v>
      </c>
      <c r="K25" s="33" t="s">
        <v>98</v>
      </c>
    </row>
    <row r="26" customFormat="false" ht="15" hidden="false" customHeight="false" outlineLevel="0" collapsed="false">
      <c r="A26" s="16" t="s">
        <v>81</v>
      </c>
      <c r="B26" s="16" t="s">
        <v>104</v>
      </c>
      <c r="C26" s="16" t="s">
        <v>59</v>
      </c>
      <c r="D26" s="16"/>
      <c r="E26" s="16" t="s">
        <v>105</v>
      </c>
      <c r="F26" s="16" t="s">
        <v>93</v>
      </c>
      <c r="G26" s="16" t="n">
        <v>44</v>
      </c>
      <c r="H26" s="17" t="n">
        <f aca="false">I25+G26/1440+0/1440</f>
        <v>0.602777777777778</v>
      </c>
      <c r="I26" s="17" t="n">
        <f aca="false">H26</f>
        <v>0.602777777777778</v>
      </c>
      <c r="J26" s="16" t="s">
        <v>212</v>
      </c>
      <c r="K26" s="16"/>
    </row>
  </sheetData>
  <autoFilter ref="A2:K26"/>
  <hyperlinks>
    <hyperlink ref="K4" r:id="rId1" display="Open adres"/>
    <hyperlink ref="K5" r:id="rId2" display="Open adres"/>
    <hyperlink ref="K6" r:id="rId3" display="Open adres"/>
    <hyperlink ref="K7" r:id="rId4" display="Open adres"/>
    <hyperlink ref="K12" r:id="rId5" display="Open adres"/>
    <hyperlink ref="K13" r:id="rId6" display="Open adres"/>
    <hyperlink ref="K15" r:id="rId7" display="Open adres"/>
    <hyperlink ref="K16" r:id="rId8" display="Open adres"/>
    <hyperlink ref="K20" r:id="rId9" display="Open adres"/>
    <hyperlink ref="K21" r:id="rId10" display="Open adres"/>
    <hyperlink ref="K22" r:id="rId11" display="Open adres"/>
    <hyperlink ref="K23" r:id="rId12" display="Open adres"/>
    <hyperlink ref="K24" r:id="rId13" display="Open adres"/>
    <hyperlink ref="K25" r:id="rId14" display="Open adr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68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9" min="8" style="0" width="19"/>
  </cols>
  <sheetData>
    <row r="1" customFormat="false" ht="15" hidden="false" customHeight="false" outlineLevel="0" collapsed="false">
      <c r="A1" s="27" t="s">
        <v>3</v>
      </c>
      <c r="B1" s="27" t="s">
        <v>4</v>
      </c>
      <c r="C1" s="27" t="s">
        <v>222</v>
      </c>
      <c r="D1" s="27" t="s">
        <v>223</v>
      </c>
      <c r="E1" s="27" t="s">
        <v>224</v>
      </c>
    </row>
    <row r="2" customFormat="false" ht="15" hidden="false" customHeight="false" outlineLevel="0" collapsed="false">
      <c r="A2" s="0" t="s">
        <v>225</v>
      </c>
      <c r="B2" s="0" t="s">
        <v>204</v>
      </c>
      <c r="C2" s="0" t="s">
        <v>226</v>
      </c>
      <c r="D2" s="0" t="s">
        <v>227</v>
      </c>
      <c r="E2" s="0" t="s">
        <v>228</v>
      </c>
    </row>
    <row r="3" customFormat="false" ht="15" hidden="false" customHeight="false" outlineLevel="0" collapsed="false">
      <c r="A3" s="0" t="s">
        <v>26</v>
      </c>
      <c r="B3" s="0" t="s">
        <v>14</v>
      </c>
      <c r="C3" s="0" t="s">
        <v>229</v>
      </c>
      <c r="D3" s="0" t="s">
        <v>230</v>
      </c>
      <c r="E3" s="0" t="s">
        <v>231</v>
      </c>
    </row>
    <row r="4" customFormat="false" ht="15" hidden="false" customHeight="false" outlineLevel="0" collapsed="false">
      <c r="A4" s="0" t="s">
        <v>17</v>
      </c>
      <c r="B4" s="0" t="s">
        <v>14</v>
      </c>
      <c r="C4" s="0" t="s">
        <v>229</v>
      </c>
      <c r="D4" s="0" t="s">
        <v>232</v>
      </c>
      <c r="E4" s="0" t="s">
        <v>233</v>
      </c>
    </row>
    <row r="5" customFormat="false" ht="15" hidden="false" customHeight="false" outlineLevel="0" collapsed="false">
      <c r="A5" s="0" t="s">
        <v>234</v>
      </c>
      <c r="B5" s="0" t="s">
        <v>14</v>
      </c>
      <c r="C5" s="0" t="s">
        <v>235</v>
      </c>
      <c r="D5" s="0" t="s">
        <v>236</v>
      </c>
      <c r="E5" s="0" t="s">
        <v>237</v>
      </c>
    </row>
    <row r="7" customFormat="false" ht="15" hidden="false" customHeight="false" outlineLevel="0" collapsed="false">
      <c r="A7" s="0" t="s">
        <v>238</v>
      </c>
    </row>
    <row r="8" customFormat="false" ht="15" hidden="false" customHeight="false" outlineLevel="0" collapsed="false">
      <c r="A8" s="0" t="s">
        <v>239</v>
      </c>
    </row>
    <row r="9" customFormat="false" ht="15" hidden="false" customHeight="false" outlineLevel="0" collapsed="false">
      <c r="A9" s="0" t="s">
        <v>240</v>
      </c>
    </row>
    <row r="10" customFormat="false" ht="15" hidden="false" customHeight="false" outlineLevel="0" collapsed="false">
      <c r="A10" s="0" t="s">
        <v>241</v>
      </c>
    </row>
    <row r="11" customFormat="false" ht="15" hidden="false" customHeight="false" outlineLevel="0" collapsed="false">
      <c r="A11" s="0" t="s">
        <v>242</v>
      </c>
    </row>
    <row r="12" customFormat="false" ht="15" hidden="false" customHeight="false" outlineLevel="0" collapsed="false">
      <c r="A12" s="0" t="s">
        <v>243</v>
      </c>
    </row>
    <row r="13" customFormat="false" ht="15" hidden="false" customHeight="false" outlineLevel="0" collapsed="false">
      <c r="A13" s="0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45.75" hidden="false" customHeight="true" outlineLevel="0" collapsed="false">
      <c r="A1" s="31" t="s">
        <v>203</v>
      </c>
      <c r="B1" s="31" t="s">
        <v>204</v>
      </c>
    </row>
    <row r="2" customFormat="false" ht="30.75" hidden="false" customHeight="true" outlineLevel="0" collapsed="false">
      <c r="A2" s="31" t="s">
        <v>207</v>
      </c>
      <c r="B2" s="31" t="s">
        <v>204</v>
      </c>
    </row>
    <row r="3" customFormat="false" ht="76.5" hidden="false" customHeight="true" outlineLevel="0" collapsed="false">
      <c r="A3" s="31" t="s">
        <v>209</v>
      </c>
      <c r="B3" s="31" t="s">
        <v>210</v>
      </c>
    </row>
    <row r="4" customFormat="false" ht="45.75" hidden="false" customHeight="true" outlineLevel="0" collapsed="false">
      <c r="A4" s="31" t="s">
        <v>213</v>
      </c>
      <c r="B4" s="31" t="s">
        <v>204</v>
      </c>
    </row>
    <row r="5" customFormat="false" ht="30.75" hidden="false" customHeight="true" outlineLevel="0" collapsed="false">
      <c r="A5" s="31" t="s">
        <v>215</v>
      </c>
      <c r="B5" s="31" t="s">
        <v>204</v>
      </c>
    </row>
    <row r="6" customFormat="false" ht="15" hidden="false" customHeight="false" outlineLevel="0" collapsed="false">
      <c r="A6" s="0" t="s">
        <v>245</v>
      </c>
      <c r="B6" s="0" t="s">
        <v>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2026-10-08T13:28:15Z</dcterms:created>
  <dc:creator>openpyxl</dc:creator>
  <dc:description/>
  <dc:language>en-US</dc:language>
  <cp:lastModifiedBy/>
  <dcterms:modified xsi:type="dcterms:W3CDTF">2026-10-12T12:05:49Z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
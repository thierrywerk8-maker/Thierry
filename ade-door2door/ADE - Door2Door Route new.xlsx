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Metadata/LabelInfo.xml" ContentType="application/vnd.ms-office.classificationlabels+xml"/>
</Types>
</file>

<file path=_rels/.rels><?xml version='1.0' encoding='UTF-8' standalone='yes'?>
<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Id="rIdX1" Type="http://schemas.microsoft.com/office/2020/02/relationships/classificationlabels" Target="docMetadata/LabelInfo.xml"/></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8980" tabRatio="500" firstSheet="0" activeTab="0" autoFilterDateGrouping="1"/>
  </bookViews>
  <sheets>
    <sheet xmlns:r="http://schemas.openxmlformats.org/officeDocument/2006/relationships" name="Door2Door| Paylogic" sheetId="1" state="visible" r:id="rId1"/>
    <sheet xmlns:r="http://schemas.openxmlformats.org/officeDocument/2006/relationships" name="Door2Door | Eventim (Light)" sheetId="2" state="visible" r:id="rId2"/>
    <sheet xmlns:r="http://schemas.openxmlformats.org/officeDocument/2006/relationships" name="Leadlijst sheet. " sheetId="3" state="visible" r:id="rId3"/>
  </sheets>
  <definedNames/>
  <calcPr calcId="191028" fullCalcOnLoad="1" iterateDelta="0.0001"/>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tc={0DC4CCBA-C9DB-4442-A358-B7A30B60FA2C}</author>
  </authors>
  <commentList>
    <comment ref="A1" authorId="0" shapeId="0" xr:uid="{0DC4CCBA-C9DB-4442-A358-B7A30B60FA2C}">
      <text>
        <t xml:space="preserve">[Threaded comment]
Your version of Excel allows you to read this threaded comment; however, any edits to it will get removed if the file is opened in a newer version of Excel. Learn more: https://go.microsoft.com/fwlink/?linkid=870924
Comment:
    @Rek, Yasmijn @Hellinga, Friso @Hoelen, Steven @Giannatiempo, Odin @Caacbay, Rey @Balvert, Bas @Blanke, Emiel
Zie hier nieuwe indeling. Bas en Emiel maken zelf planning voor hun leads. Dit kan in 1 dag.
Ik zie dat het niet helemaal eerlijk is verdeeld, maar route-wise is dit beste. laten we dit even bespreken en eerlijk verdelen als dit beter is. 
Reply:
    Thanks Thierry! Ziet er goed uit, ik weet niet precies wat je bedoelt met niet helemaal eerlijk verdeeld. Dus heb ook zelf met die bril op even high level proberen doorheen te gaan. Valt mij op dat Yasmijn / Steven bijna geen AMS hebben en dat jij en Friso onevenredig veel ASM weer hebben. Weet niet of dat zo is bedacht / besproken al met elkaar is, maar denk goed om dit nog even met zijn 4en (Steven, jij, Yasmijn en Friso) te tackelen voordat wij einde dag met de groep zitten om alles nog 1x na te lopen. Zitten een paar grote trade offs (paard, gashouder bijv) wel voor sommige, dus goed om dat even met elkaar te bespreken. Voor AMS kan ik mij ook weer voorstellen dat je misschien weer andere oplossingen kan bedenken omdat reistijd heel erg licht is. </t>
      </text>
    </comment>
  </commentList>
</comments>
</file>

<file path=xl/styles.xml><?xml version="1.0" encoding="utf-8"?>
<styleSheet xmlns="http://schemas.openxmlformats.org/spreadsheetml/2006/main">
  <numFmts count="0"/>
  <fonts count="18">
    <font>
      <name val="Calibri"/>
      <charset val="1"/>
      <family val="2"/>
      <color theme="1"/>
      <sz val="11"/>
    </font>
    <font>
      <name val="Calibri"/>
      <family val="2"/>
      <b val="1"/>
      <color rgb="FFFFFFFF"/>
      <sz val="14"/>
    </font>
    <font>
      <name val="Calibri"/>
      <family val="2"/>
      <b val="1"/>
      <color rgb="FFFFFFFF"/>
      <sz val="11"/>
    </font>
    <font>
      <name val="Calibri"/>
      <family val="2"/>
      <b val="1"/>
      <sz val="11"/>
    </font>
    <font>
      <name val="Calibri"/>
      <family val="2"/>
      <b val="1"/>
      <color rgb="FFFFFFFF"/>
      <sz val="12"/>
    </font>
    <font>
      <name val="Calibri"/>
      <family val="2"/>
      <color rgb="FF087E68"/>
      <sz val="11"/>
      <u val="single"/>
    </font>
    <font>
      <name val="Arial"/>
      <family val="2"/>
      <color theme="1"/>
      <sz val="10"/>
    </font>
    <font>
      <name val="Roboto"/>
      <color theme="1"/>
      <sz val="14"/>
    </font>
    <font>
      <name val="Calibri"/>
      <family val="2"/>
      <b val="1"/>
      <color rgb="FFFFFFFF"/>
      <sz val="14"/>
    </font>
    <font>
      <name val="Calibri"/>
      <charset val="1"/>
      <family val="2"/>
      <color rgb="FF000000"/>
      <sz val="11"/>
    </font>
    <font>
      <name val="Calibri"/>
      <family val="2"/>
      <b val="1"/>
      <color rgb="FFFFFFFF"/>
      <sz val="11"/>
    </font>
    <font>
      <name val="Calibri"/>
      <family val="2"/>
      <b val="1"/>
      <sz val="11"/>
    </font>
    <font>
      <name val="Calibri"/>
      <b val="1"/>
      <color rgb="FFFFFFFF"/>
      <sz val="14"/>
    </font>
    <font>
      <name val="Calibri"/>
      <b val="1"/>
      <color rgb="FF0000FF"/>
      <sz val="11"/>
    </font>
    <font>
      <name val="Calibri"/>
      <b val="1"/>
      <color rgb="FFFFFFFF"/>
      <sz val="12"/>
    </font>
    <font>
      <name val="Calibri"/>
      <b val="1"/>
      <color rgb="FFFFFFFF"/>
      <sz val="11"/>
    </font>
    <font>
      <name val="Calibri"/>
      <color rgb="FF087E68"/>
      <sz val="11"/>
      <u val="single"/>
    </font>
    <font>
      <name val="Calibri"/>
      <b val="1"/>
      <sz val="11"/>
    </font>
  </fonts>
  <fills count="28">
    <fill>
      <patternFill/>
    </fill>
    <fill>
      <patternFill patternType="gray125"/>
    </fill>
    <fill>
      <patternFill patternType="solid">
        <fgColor rgb="FF17243A"/>
        <bgColor rgb="FF003366"/>
      </patternFill>
    </fill>
    <fill>
      <patternFill patternType="solid">
        <fgColor rgb="FFE2EFDA"/>
        <bgColor rgb="FFE8EFF5"/>
      </patternFill>
    </fill>
    <fill>
      <patternFill patternType="solid">
        <fgColor rgb="FFFFF0CE"/>
        <bgColor rgb="FFE2EFDA"/>
      </patternFill>
    </fill>
    <fill>
      <patternFill patternType="solid">
        <fgColor rgb="FFFFC7CE"/>
        <bgColor rgb="FFFFF0CE"/>
      </patternFill>
    </fill>
    <fill>
      <patternFill patternType="solid">
        <fgColor rgb="FF244466"/>
        <bgColor rgb="FF003366"/>
      </patternFill>
    </fill>
    <fill>
      <patternFill patternType="solid">
        <fgColor rgb="FFE8EFF5"/>
        <bgColor rgb="FFE2EFDA"/>
      </patternFill>
    </fill>
    <fill>
      <patternFill patternType="solid">
        <fgColor rgb="FFFFFF00"/>
        <bgColor indexed="64"/>
      </patternFill>
    </fill>
    <fill>
      <patternFill patternType="solid">
        <fgColor rgb="FFD9EAD3"/>
        <bgColor rgb="FF000000"/>
      </patternFill>
    </fill>
    <fill>
      <patternFill patternType="solid">
        <fgColor rgb="FFD9EAD3"/>
        <bgColor rgb="FFE2EFDA"/>
      </patternFill>
    </fill>
    <fill>
      <patternFill patternType="solid">
        <fgColor rgb="FFF4CCCC"/>
        <bgColor rgb="FFFFC7CE"/>
      </patternFill>
    </fill>
    <fill>
      <patternFill patternType="solid">
        <fgColor rgb="FFCFE2F3"/>
        <bgColor rgb="FFD9EAD3"/>
      </patternFill>
    </fill>
    <fill>
      <patternFill patternType="solid">
        <fgColor rgb="FFF4CCCC"/>
        <bgColor rgb="FF000000"/>
      </patternFill>
    </fill>
    <fill>
      <patternFill patternType="solid">
        <fgColor rgb="FFFCE5CD"/>
        <bgColor rgb="FFFFF0CE"/>
      </patternFill>
    </fill>
    <fill>
      <patternFill patternType="solid">
        <fgColor rgb="FFCFE2F3"/>
        <bgColor rgb="FF000000"/>
      </patternFill>
    </fill>
    <fill>
      <patternFill patternType="solid">
        <fgColor rgb="FFFCE5CD"/>
        <bgColor rgb="FF000000"/>
      </patternFill>
    </fill>
    <fill>
      <patternFill patternType="solid">
        <fgColor theme="5" tint="0.7999816888943144"/>
        <bgColor indexed="64"/>
      </patternFill>
    </fill>
    <fill>
      <patternFill patternType="solid">
        <fgColor theme="9" tint="0.7999816888943144"/>
        <bgColor indexed="64"/>
      </patternFill>
    </fill>
    <fill>
      <patternFill patternType="solid">
        <fgColor theme="2" tint="-0.09997863704336681"/>
        <bgColor indexed="64"/>
      </patternFill>
    </fill>
    <fill>
      <patternFill patternType="solid">
        <fgColor rgb="FF17243A"/>
      </patternFill>
    </fill>
    <fill>
      <patternFill patternType="solid">
        <fgColor rgb="FFE2EFDA"/>
      </patternFill>
    </fill>
    <fill>
      <patternFill patternType="solid">
        <fgColor rgb="FFFFF0CE"/>
      </patternFill>
    </fill>
    <fill>
      <patternFill patternType="solid">
        <fgColor rgb="FFFFC7CE"/>
      </patternFill>
    </fill>
    <fill>
      <patternFill patternType="solid">
        <fgColor rgb="FF244466"/>
      </patternFill>
    </fill>
    <fill>
      <patternFill patternType="solid">
        <fgColor rgb="FFE8EFF5"/>
      </patternFill>
    </fill>
    <fill>
      <patternFill patternType="solid">
        <fgColor rgb="FFDDEBF7"/>
      </patternFill>
    </fill>
    <fill>
      <patternFill patternType="solid">
        <fgColor rgb="FFEDEDED"/>
      </patternFill>
    </fill>
  </fills>
  <borders count="5">
    <border>
      <left/>
      <right/>
      <top/>
      <bottom/>
      <diagonal/>
    </border>
    <border>
      <left style="thin">
        <color rgb="FFCCCCCC"/>
      </left>
      <right style="thin">
        <color rgb="FF000000"/>
      </right>
      <top style="thin">
        <color rgb="FFCCCCCC"/>
      </top>
      <bottom style="thin">
        <color rgb="FFCCCCCC"/>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1">
    <xf numFmtId="0" fontId="0" fillId="0" borderId="0"/>
  </cellStyleXfs>
  <cellXfs count="65">
    <xf numFmtId="0" fontId="0" fillId="0" borderId="0" pivotButton="0" quotePrefix="0" xfId="0"/>
    <xf numFmtId="0" fontId="1"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2" fillId="6" borderId="0" applyAlignment="1" pivotButton="0" quotePrefix="0" xfId="0">
      <alignment vertical="center" wrapText="1"/>
    </xf>
    <xf numFmtId="20" fontId="0" fillId="0" borderId="0" pivotButton="0" quotePrefix="0" xfId="0"/>
    <xf numFmtId="0" fontId="3" fillId="0" borderId="0" pivotButton="0" quotePrefix="0" xfId="0"/>
    <xf numFmtId="0" fontId="4" fillId="2" borderId="0" pivotButton="0" quotePrefix="0" xfId="0"/>
    <xf numFmtId="0" fontId="0" fillId="7" borderId="0" pivotButton="0" quotePrefix="0" xfId="0"/>
    <xf numFmtId="20" fontId="0" fillId="7" borderId="0" pivotButton="0" quotePrefix="0" xfId="0"/>
    <xf numFmtId="0" fontId="0" fillId="0" borderId="0" applyAlignment="1" pivotButton="0" quotePrefix="0" xfId="0">
      <alignment vertical="top" wrapText="1"/>
    </xf>
    <xf numFmtId="20" fontId="0" fillId="0" borderId="0" applyAlignment="1" pivotButton="0" quotePrefix="0" xfId="0">
      <alignment vertical="top" wrapText="1"/>
    </xf>
    <xf numFmtId="0" fontId="5" fillId="0" borderId="0" applyAlignment="1" pivotButton="0" quotePrefix="0" xfId="0">
      <alignment vertical="top" wrapText="1"/>
    </xf>
    <xf numFmtId="0" fontId="0" fillId="3" borderId="0" applyAlignment="1" pivotButton="0" quotePrefix="0" xfId="0">
      <alignment vertical="top" wrapText="1"/>
    </xf>
    <xf numFmtId="0" fontId="3" fillId="3" borderId="0" applyAlignment="1" pivotButton="0" quotePrefix="0" xfId="0">
      <alignment vertical="top" wrapText="1"/>
    </xf>
    <xf numFmtId="0" fontId="0" fillId="4" borderId="0" applyAlignment="1" pivotButton="0" quotePrefix="0" xfId="0">
      <alignment vertical="top" wrapText="1"/>
    </xf>
    <xf numFmtId="0" fontId="0" fillId="7"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center" wrapText="1"/>
    </xf>
    <xf numFmtId="0" fontId="0" fillId="8" borderId="0" applyAlignment="1" pivotButton="0" quotePrefix="0" xfId="0">
      <alignment vertical="top" wrapText="1"/>
    </xf>
    <xf numFmtId="0" fontId="8" fillId="2" borderId="0" pivotButton="0" quotePrefix="0" xfId="0"/>
    <xf numFmtId="0" fontId="9" fillId="0" borderId="0" pivotButton="0" quotePrefix="0" xfId="0"/>
    <xf numFmtId="0" fontId="10" fillId="6" borderId="0" pivotButton="0" quotePrefix="0" xfId="0"/>
    <xf numFmtId="0" fontId="9" fillId="9" borderId="0" pivotButton="0" quotePrefix="0" xfId="0"/>
    <xf numFmtId="0" fontId="9" fillId="10" borderId="0" pivotButton="0" quotePrefix="0" xfId="0"/>
    <xf numFmtId="0" fontId="9" fillId="11" borderId="0" pivotButton="0" quotePrefix="0" xfId="0"/>
    <xf numFmtId="0" fontId="9" fillId="12" borderId="0" pivotButton="0" quotePrefix="0" xfId="0"/>
    <xf numFmtId="0" fontId="9" fillId="13" borderId="0" pivotButton="0" quotePrefix="0" xfId="0"/>
    <xf numFmtId="0" fontId="9" fillId="14" borderId="0" pivotButton="0" quotePrefix="0" xfId="0"/>
    <xf numFmtId="0" fontId="9" fillId="15" borderId="0" pivotButton="0" quotePrefix="0" xfId="0"/>
    <xf numFmtId="0" fontId="11" fillId="0" borderId="0" pivotButton="0" quotePrefix="0" xfId="0"/>
    <xf numFmtId="0" fontId="9" fillId="16" borderId="0" pivotButton="0" quotePrefix="0" xfId="0"/>
    <xf numFmtId="0" fontId="6" fillId="0" borderId="1" applyAlignment="1" pivotButton="0" quotePrefix="0" xfId="0">
      <alignment readingOrder="1"/>
    </xf>
    <xf numFmtId="0" fontId="9" fillId="17" borderId="0" pivotButton="0" quotePrefix="0" xfId="0"/>
    <xf numFmtId="0" fontId="9" fillId="18" borderId="0" pivotButton="0" quotePrefix="0" xfId="0"/>
    <xf numFmtId="0" fontId="9" fillId="0" borderId="2" pivotButton="0" quotePrefix="0" xfId="0"/>
    <xf numFmtId="0" fontId="9" fillId="0" borderId="4" pivotButton="0" quotePrefix="0" xfId="0"/>
    <xf numFmtId="0" fontId="9" fillId="19" borderId="3" pivotButton="0" quotePrefix="0" xfId="0"/>
    <xf numFmtId="0" fontId="9" fillId="19" borderId="0" pivotButton="0" quotePrefix="0" xfId="0"/>
    <xf numFmtId="0" fontId="7" fillId="0" borderId="0" pivotButton="0" quotePrefix="0" xfId="0"/>
    <xf numFmtId="0" fontId="0" fillId="0" borderId="0" pivotButton="0" quotePrefix="0" xfId="0"/>
    <xf numFmtId="0" fontId="12" fillId="20" borderId="0" pivotButton="0" quotePrefix="0" xfId="0"/>
    <xf numFmtId="0" fontId="0" fillId="21" borderId="0" pivotButton="0" quotePrefix="0" xfId="0"/>
    <xf numFmtId="0" fontId="0" fillId="22" borderId="0" pivotButton="0" quotePrefix="0" xfId="0"/>
    <xf numFmtId="0" fontId="0" fillId="23" borderId="0" pivotButton="0" quotePrefix="0" xfId="0"/>
    <xf numFmtId="0" fontId="13" fillId="0" borderId="0" pivotButton="0" quotePrefix="0" xfId="0"/>
    <xf numFmtId="0" fontId="15" fillId="24" borderId="0" applyAlignment="1" pivotButton="0" quotePrefix="0" xfId="0">
      <alignment vertical="center" wrapText="1"/>
    </xf>
    <xf numFmtId="20" fontId="0" fillId="0" borderId="0" pivotButton="0" quotePrefix="0" xfId="0"/>
    <xf numFmtId="0" fontId="17" fillId="0" borderId="0" pivotButton="0" quotePrefix="0" xfId="0"/>
    <xf numFmtId="0" fontId="14" fillId="20" borderId="0" pivotButton="0" quotePrefix="0" xfId="0"/>
    <xf numFmtId="0" fontId="0" fillId="25" borderId="0" pivotButton="0" quotePrefix="0" xfId="0"/>
    <xf numFmtId="20" fontId="0" fillId="25" borderId="0" pivotButton="0" quotePrefix="0" xfId="0"/>
    <xf numFmtId="20" fontId="0" fillId="0" borderId="0" applyAlignment="1" pivotButton="0" quotePrefix="0" xfId="0">
      <alignment vertical="top" wrapText="1"/>
    </xf>
    <xf numFmtId="0" fontId="16" fillId="0" borderId="0" applyAlignment="1" pivotButton="0" quotePrefix="0" xfId="0">
      <alignment vertical="top" wrapText="1"/>
    </xf>
    <xf numFmtId="0" fontId="0" fillId="22" borderId="0" applyAlignment="1" pivotButton="0" quotePrefix="0" xfId="0">
      <alignment vertical="top" wrapText="1"/>
    </xf>
    <xf numFmtId="0" fontId="0" fillId="25" borderId="0" applyAlignment="1" pivotButton="0" quotePrefix="0" xfId="0">
      <alignment vertical="top" wrapText="1"/>
    </xf>
    <xf numFmtId="0" fontId="0" fillId="26" borderId="0" applyAlignment="1" pivotButton="0" quotePrefix="0" xfId="0">
      <alignment vertical="top" wrapText="1"/>
    </xf>
    <xf numFmtId="20" fontId="0" fillId="26" borderId="0" applyAlignment="1" pivotButton="0" quotePrefix="0" xfId="0">
      <alignment vertical="top" wrapText="1"/>
    </xf>
    <xf numFmtId="20" fontId="13" fillId="26" borderId="0" applyAlignment="1" pivotButton="0" quotePrefix="0" xfId="0">
      <alignment vertical="top" wrapText="1"/>
    </xf>
    <xf numFmtId="0" fontId="16" fillId="26" borderId="0" applyAlignment="1" pivotButton="0" quotePrefix="0" xfId="0">
      <alignment vertical="top" wrapText="1"/>
    </xf>
    <xf numFmtId="0" fontId="0" fillId="21" borderId="0" applyAlignment="1" pivotButton="0" quotePrefix="0" xfId="0">
      <alignment vertical="top" wrapText="1"/>
    </xf>
    <xf numFmtId="0" fontId="17" fillId="21" borderId="0" applyAlignment="1" pivotButton="0" quotePrefix="0" xfId="0">
      <alignment vertical="top" wrapText="1"/>
    </xf>
    <xf numFmtId="0" fontId="0" fillId="27" borderId="0" applyAlignment="1" pivotButton="0" quotePrefix="0" xfId="0">
      <alignment vertical="top" wrapText="1"/>
    </xf>
    <xf numFmtId="0" fontId="17" fillId="0" borderId="0" applyAlignment="1" pivotButton="0" quotePrefix="0" xfId="0">
      <alignment vertical="top" wrapText="1"/>
    </xf>
  </cellXfs>
  <cellStyles count="1">
    <cellStyle name="Normal" xfId="0" builtinId="0"/>
  </cellStyles>
  <dxfs count="11">
    <dxf>
      <font>
        <color rgb="FF006100"/>
      </font>
      <fill>
        <patternFill>
          <bgColor rgb="FFC6EFCE"/>
        </patternFill>
      </fill>
    </dxf>
    <dxf>
      <font>
        <b val="1"/>
        <color rgb="FF9C0006"/>
      </font>
      <fill>
        <patternFill>
          <bgColor rgb="FFFFC7CE"/>
        </patternFill>
      </fill>
    </dxf>
    <dxf>
      <font>
        <b val="1"/>
        <color rgb="FF9C0006"/>
      </font>
      <fill>
        <patternFill>
          <bgColor rgb="FFFFC7CE"/>
        </patternFill>
      </fill>
    </dxf>
    <dxf>
      <font>
        <b val="1"/>
        <color rgb="FF9C0006"/>
      </font>
      <fill>
        <patternFill>
          <bgColor rgb="FFFFC7CE"/>
        </patternFill>
      </fill>
    </dxf>
    <dxf>
      <font>
        <b val="1"/>
        <color rgb="FF9C0006"/>
      </font>
      <fill>
        <patternFill>
          <bgColor rgb="FFFFC7CE"/>
        </patternFill>
      </fill>
    </dxf>
    <dxf>
      <font>
        <b val="1"/>
        <color rgb="FF9C0006"/>
      </font>
      <fill>
        <patternFill>
          <bgColor rgb="FFFFC7CE"/>
        </patternFill>
      </fill>
    </dxf>
    <dxf>
      <font>
        <b val="1"/>
        <color rgb="FF9C0006"/>
      </font>
      <fill>
        <patternFill>
          <bgColor rgb="FFFFC7CE"/>
        </patternFill>
      </fill>
    </dxf>
    <dxf>
      <font>
        <b val="1"/>
        <color rgb="FF9C0006"/>
      </font>
      <fill>
        <patternFill>
          <bgColor rgb="FFFFC7CE"/>
        </patternFill>
      </fill>
    </dxf>
    <dxf>
      <font>
        <b val="1"/>
        <color rgb="FF9C0006"/>
      </font>
      <fill>
        <patternFill>
          <bgColor rgb="FFFFC7CE"/>
        </patternFill>
      </fill>
    </dxf>
    <dxf>
      <font>
        <b val="1"/>
        <color rgb="FF9C0006"/>
      </font>
      <fill>
        <patternFill patternType="solid">
          <fgColor rgb="FFFFC7CE"/>
        </patternFill>
      </fill>
    </dxf>
    <dxf>
      <font>
        <color rgb="FF006100"/>
      </font>
      <fill>
        <patternFill patternType="solid">
          <f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87E68"/>
      <rgbColor rgb="FFC0C0C0"/>
      <rgbColor rgb="FF808080"/>
      <rgbColor rgb="FF9999FF"/>
      <rgbColor rgb="FF993366"/>
      <rgbColor rgb="FFFFF0CE"/>
      <rgbColor rgb="FFE8EF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2EFDA"/>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244466"/>
      <rgbColor rgb="FF17243A"/>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 Id="rIdX1"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Balvert, Bas" id="{6D0B8C82-F6A0-49F1-8A5E-1A1DEC9CF4F0}" userId="bas.balvert@eventim.nl" providerId="PeoplePicker"/>
  <person displayName="Caacbay, Rey" id="{ED3A4FDE-35FC-476F-8573-1D41DB658BE3}" userId="rey.caacbay@eventim.nl" providerId="PeoplePicker"/>
  <person displayName="Rek, Yasmijn" id="{CA9583A7-6896-4838-8721-C78542D5767D}" userId="yasmijn.rek@eventim.nl" providerId="PeoplePicker"/>
  <person displayName="Blanke, Emiel" id="{AF05E286-7CDF-4256-81F8-A35226E6987A}" userId="emiel.blanke@eventim.nl" providerId="PeoplePicker"/>
  <person displayName="Hoelen, Steven" id="{AAC1C643-02A9-4058-BD60-0FF8A59E8A3E}" userId="steven.hoelen@eventim.nl" providerId="PeoplePicker"/>
  <person displayName="Hellinga, Friso" id="{15CEC0F5-4178-4AB0-B1FE-03B68251D9BC}" userId="friso.hellinga@eventim.nl" providerId="PeoplePicker"/>
  <person displayName="Giannatiempo, Odin" id="{5825BE15-E1C1-4832-A0CF-40B118F37C8F}" userId="odin.giannatiempo@eventim.nl" providerId="PeoplePicker"/>
  <person displayName="Caacbay, Rey" id="{FCA1652D-FCC0-40CA-B35E-4A0314C26A33}" userId="S::rey.caacbay@eventim.nl::8483cd0a-a5e7-4c3e-a49e-c7af371dd4dc" providerId="AD"/>
  <person displayName="Beentjes, Thierry" id="{1195EEE5-24B8-4398-999C-F41E0F859D47}" userId="S::thierry.beentjes@eventim.nl::ff8a304a-69ed-4d36-b6cd-c7d4c447aa25"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10-12T09:45:53.66" personId="{1195EEE5-24B8-4398-999C-F41E0F859D47}" id="{0DC4CCBA-C9DB-4442-A358-B7A30B60FA2C}">
    <text xml:space="preserve">@Rek, Yasmijn @Hellinga, Friso @Hoelen, Steven @Giannatiempo, Odin @Caacbay, Rey @Balvert, Bas @Blanke, Emiel
Zie hier nieuwe indeling. Bas en Emiel maken zelf planning voor hun leads. Dit kan in 1 dag.
Ik zie dat het niet helemaal eerlijk is verdeeld, maar route-wise is dit beste. laten we dit even bespreken en eerlijk verdelen als dit beter is. </text>
    <mentions>
      <mention mentionpersonId="{CA9583A7-6896-4838-8721-C78542D5767D}" mentionId="{007D42D4-F31F-45AA-A292-25A458248026}" startIndex="0" length="13"/>
      <mention mentionpersonId="{15CEC0F5-4178-4AB0-B1FE-03B68251D9BC}" mentionId="{8173E68E-A0D6-40C9-AEDE-07B2FB0A081A}" startIndex="14" length="16"/>
      <mention mentionpersonId="{AAC1C643-02A9-4058-BD60-0FF8A59E8A3E}" mentionId="{EBE997ED-D397-4381-9300-560F1A451309}" startIndex="31" length="15"/>
      <mention mentionpersonId="{5825BE15-E1C1-4832-A0CF-40B118F37C8F}" mentionId="{D0B0A069-550C-41C4-BC76-EAFA6F8417B8}" startIndex="47" length="19"/>
      <mention mentionpersonId="{ED3A4FDE-35FC-476F-8573-1D41DB658BE3}" mentionId="{8A2D384B-4552-4B22-A08A-64E512AFCAB1}" startIndex="67" length="13"/>
      <mention mentionpersonId="{6D0B8C82-F6A0-49F1-8A5E-1A1DEC9CF4F0}" mentionId="{9D548BB0-1D5B-4D51-8DF3-BCF12333F1C9}" startIndex="81" length="13"/>
      <mention mentionpersonId="{AF05E286-7CDF-4256-81F8-A35226E6987A}" mentionId="{59847AE4-4A00-479B-A1F5-93B647669078}" startIndex="95" length="14"/>
    </mentions>
  </threadedComment>
  <threadedComment ref="A1" dT="2026-10-12T10:13:12.78" personId="{FCA1652D-FCC0-40CA-B35E-4A0314C26A33}" id="{C17B4043-D719-46E2-A995-8D1C5A85D0B6}" parentId="{0DC4CCBA-C9DB-4442-A358-B7A30B60FA2C}">
    <text xml:space="preserve">Thanks Thierry! Ziet er goed uit, ik weet niet precies wat je bedoelt met niet helemaal eerlijk verdeeld. Dus heb ook zelf met die bril op even high level proberen doorheen te gaan. Valt mij op dat Yasmijn / Steven bijna geen AMS hebben en dat jij en Friso onevenredig veel ASM weer hebben. Weet niet of dat zo is bedacht / besproken al met elkaar is, maar denk goed om dit nog even met zijn 4en (Steven, jij, Yasmijn en Friso) te tackelen voordat wij einde dag met de groep zitten om alles nog 1x na te lopen. Zitten een paar grote trade offs (paard, gashouder bijv) wel voor sommige, dus goed om dat even met elkaar te bespreken. Voor AMS kan ik mij ook weer voorstellen dat je misschien weer andere oplossingen kan bedenken omdat reistijd heel erg licht is. </text>
  </threadedComment>
</ThreadedComments>
</file>

<file path=xl/worksheets/_rels/sheet1.xml.rels><?xml version='1.0' encoding='UTF-8' standalone='yes'?>
<Relationships xmlns="http://schemas.openxmlformats.org/package/2006/relationships"><Relationship Type="http://schemas.openxmlformats.org/officeDocument/2006/relationships/hyperlink" Target="https://www.google.com/maps/search/?api=1&amp;query=Rokin%2054%2C%201012KV%2C%20Amsterdam%20Netherlands" TargetMode="External" Id="rId1"/><Relationship Type="http://schemas.openxmlformats.org/officeDocument/2006/relationships/hyperlink" Target="https://www.google.com/maps/search/?api=1&amp;query=Jaarbeursplein%206%2C%203521%20AL%2C%20Utrecht%20Netherlands" TargetMode="External" Id="rId2"/><Relationship Type="http://schemas.openxmlformats.org/officeDocument/2006/relationships/hyperlink" Target="https://www.google.com/maps/search/?api=1&amp;query=Leidseweg%20125%2C%203533%20HC%2C%20Utrecht%20Netherlands" TargetMode="External" Id="rId3"/><Relationship Type="http://schemas.openxmlformats.org/officeDocument/2006/relationships/hyperlink" Target="https://www.google.com/maps/search/?api=1&amp;query=De%20Kolk%2013%2C%206541%20AV%2C%20Nijmegen%20Netherlands" TargetMode="External" Id="rId4"/><Relationship Type="http://schemas.openxmlformats.org/officeDocument/2006/relationships/hyperlink" Target="https://www.google.com/maps/search/?api=1&amp;query=Oude%20Molenweg%20112%2C%206533WN%2C%20Nijmegen%20Netherlands" TargetMode="External" Id="rId5"/><Relationship Type="http://schemas.openxmlformats.org/officeDocument/2006/relationships/hyperlink" Target="https://www.google.com/maps/search/?api=1&amp;query=Roodwilligen%2063%2C%206903%20TB%2C%20Zevenaar%20Netherlands" TargetMode="External" Id="rId6"/><Relationship Type="http://schemas.openxmlformats.org/officeDocument/2006/relationships/hyperlink" Target="https://www.google.com/maps/search/?api=1&amp;query=Nijverheidsweg%2016%2C%203762%20ER%2C%20Soest%20Netherlands" TargetMode="External" Id="rId7"/><Relationship Type="http://schemas.openxmlformats.org/officeDocument/2006/relationships/hyperlink" Target="https://www.google.com/maps/search/?api=1&amp;query=Zeeburgerdijk%2019B%2C%201093SK%2C%20Amsterdam%20Netherlands" TargetMode="External" Id="rId8"/><Relationship Type="http://schemas.openxmlformats.org/officeDocument/2006/relationships/hyperlink" Target="https://www.google.com/maps/search/?api=1&amp;query=Doctor%20Jan%20van%20Breemenstraat%201%2C%201056%20Ab%2C%20Amsterdam%20Netherlands" TargetMode="External" Id="rId9"/><Relationship Type="http://schemas.openxmlformats.org/officeDocument/2006/relationships/hyperlink" Target="https://www.google.com/maps/search/?api=1&amp;query=Krelis%20Louwenstraat%201%2C%201055%20KA%2C%20Amsterdam%20Netherlands" TargetMode="External" Id="rId10"/><Relationship Type="http://schemas.openxmlformats.org/officeDocument/2006/relationships/hyperlink" Target="https://www.google.com/maps/search/?api=1&amp;query=Contactweg%2068%2C%201014%20BW%2C%20Amsterdam%20Netherlands" TargetMode="External" Id="rId11"/><Relationship Type="http://schemas.openxmlformats.org/officeDocument/2006/relationships/hyperlink" Target="https://www.google.com/maps/search/?api=1&amp;query=Elementenstraat%2025%2C%201014%20AS%2C%20Amsterdam%20Netherlands" TargetMode="External" Id="rId12"/><Relationship Type="http://schemas.openxmlformats.org/officeDocument/2006/relationships/hyperlink" Target="https://www.google.com/maps/search/?api=1&amp;query=Danzigerbocht%2021%2C%201013%20AM%2C%20Amsterdam%20Netherlands" TargetMode="External" Id="rId13"/><Relationship Type="http://schemas.openxmlformats.org/officeDocument/2006/relationships/hyperlink" Target="https://www.google.com/maps/search/?api=1&amp;query=De%20Ruijterkade%20113%2C%20Amsterdam%20Netherlands" TargetMode="External" Id="rId14"/><Relationship Type="http://schemas.openxmlformats.org/officeDocument/2006/relationships/hyperlink" Target="https://www.google.com/maps/search/?api=1&amp;query=Papaverweg%2014%2C%201032%20KH%2C%20Amsterdam%20Netherlands" TargetMode="External" Id="rId15"/><Relationship Type="http://schemas.openxmlformats.org/officeDocument/2006/relationships/hyperlink" Target="https://www.google.com/maps/search/?api=1&amp;query=Gedempt%20Hamerkanaal%2086%2C%201021%20KR%2C%20Amsterdam%20Netherlands" TargetMode="External" Id="rId16"/><Relationship Type="http://schemas.openxmlformats.org/officeDocument/2006/relationships/hyperlink" Target="https://www.google.com/maps/search/?api=1&amp;query=Keizersgracht%20618%2C%201017%20ER%2C%20Amsterdam%20Netherlands" TargetMode="External" Id="rId17"/><Relationship Type="http://schemas.openxmlformats.org/officeDocument/2006/relationships/hyperlink" Target="https://www.google.com/maps/search/?api=1&amp;query=Lijnbaansgracht%20234A%2C%201017%20PH%2C%20Amsterdam%20Netherlands" TargetMode="External" Id="rId18"/><Relationship Type="http://schemas.openxmlformats.org/officeDocument/2006/relationships/hyperlink" Target="https://www.google.com/maps/search/?api=1&amp;query=Polonceaukade%209%2C%201014%20DA%2C%20Amsterdam%20Netherlands" TargetMode="External" Id="rId19"/><Relationship Type="http://schemas.openxmlformats.org/officeDocument/2006/relationships/hyperlink" Target="https://www.google.com/maps/search/?api=1&amp;query=Dukdalfweg%2038%2C%201041%20BE%2C%20Amsterdam%20Netherlands" TargetMode="External" Id="rId20"/><Relationship Type="http://schemas.openxmlformats.org/officeDocument/2006/relationships/hyperlink" Target="https://www.google.com/maps/search/?api=1&amp;query=Basisweg%2063%2C%201043%20AN%2C%20Amsterdam%20Netherlands" TargetMode="External" Id="rId21"/><Relationship Type="http://schemas.openxmlformats.org/officeDocument/2006/relationships/hyperlink" Target="https://www.google.com/maps/search/?api=1&amp;query=Helsinkistraat%206%2C%209723%20BD%2C%20Groningen%20Netherlands" TargetMode="External" Id="rId22"/><Relationship Type="http://schemas.openxmlformats.org/officeDocument/2006/relationships/hyperlink" Target="https://www.google.com/maps/search/?api=1&amp;query=Energieweg%2010%2C%209743%20AN%2C%20Groningen%20Netherlands" TargetMode="External" Id="rId23"/><Relationship Type="http://schemas.openxmlformats.org/officeDocument/2006/relationships/hyperlink" Target="https://www.google.com/maps/search/?api=1&amp;query=Tondenpad%209%2C%201107PL%2C%20Amsterdam%20Netherlands" TargetMode="External" Id="rId24"/><Relationship Type="http://schemas.openxmlformats.org/officeDocument/2006/relationships/hyperlink" Target="https://www.google.com/maps/search/?api=1&amp;query=Keilestraat%209F%2C%203029%20BP%2C%20Rotterdam%20Netherlands" TargetMode="External" Id="rId25"/><Relationship Type="http://schemas.openxmlformats.org/officeDocument/2006/relationships/hyperlink" Target="https://www.google.com/maps/search/?api=1&amp;query=Eendrachtsweg%2042%2C%203012%20LD%2C%20Rotterdam%20Netherlands" TargetMode="External" Id="rId26"/><Relationship Type="http://schemas.openxmlformats.org/officeDocument/2006/relationships/hyperlink" Target="https://www.google.com/maps/search/?api=1&amp;query=Slepersvest%201%2C%203011%20ML%2C%20Rotterdam%20Netherlands" TargetMode="External" Id="rId27"/><Relationship Type="http://schemas.openxmlformats.org/officeDocument/2006/relationships/hyperlink" Target="https://www.google.com/maps/search/?api=1&amp;query=Ahoyweg%2010%2C%203084%20BD%2C%20Rotterdam%20Netherlands" TargetMode="External" Id="rId28"/><Relationship Type="http://schemas.openxmlformats.org/officeDocument/2006/relationships/hyperlink" Target="https://www.google.com/maps/search/?api=1&amp;query=Boonsweg%2010%2C%20274%20LH%2C%20Heinenoord%20Netherlands" TargetMode="External" Id="rId29"/><Relationship Type="http://schemas.openxmlformats.org/officeDocument/2006/relationships/hyperlink" Target="https://www.google.com/maps/search/?api=1&amp;query=Hoofdweg-Noord%209K%2C%202913%20LB%2C%20Nieuwekerk%20ad%20IJssel%20Netherlands" TargetMode="External" Id="rId30"/><Relationship Type="http://schemas.openxmlformats.org/officeDocument/2006/relationships/hyperlink" Target="https://www.google.com/maps/search/?api=1&amp;query=Strandweg%20180%2C%202586%20JM%2C%20Den%20Haag%20Netherlands" TargetMode="External" Id="rId31"/><Relationship Type="http://schemas.openxmlformats.org/officeDocument/2006/relationships/hyperlink" Target="https://www.google.com/maps/search/?api=1&amp;query=Sint%20Sebastiaanstraat%2057%2C%205341%20LG%2C%20Oss%20Netherlands" TargetMode="External" Id="rId32"/><Relationship Type="http://schemas.openxmlformats.org/officeDocument/2006/relationships/hyperlink" Target="https://www.google.com/maps/search/?api=1&amp;query=Bussele%2017%2C%205469%20DT%2C%20Erp/Veghel%20Netherlands" TargetMode="External" Id="rId33"/><Relationship Type="http://schemas.openxmlformats.org/officeDocument/2006/relationships/hyperlink" Target="https://www.google.com/maps/search/?api=1&amp;query=Dragonder%2049J%2C%205555%20XZ%2C%20Valkenswaard%20Netherlands" TargetMode="External" Id="rId34"/><Relationship Type="http://schemas.openxmlformats.org/officeDocument/2006/relationships/hyperlink" Target="https://www.google.com/maps/search/?api=1&amp;query=Odasingel%2088%2C%206131%20GZ%2C%20Sittard%20Netherlands" TargetMode="External" Id="rId35"/><Relationship Type="http://schemas.openxmlformats.org/officeDocument/2006/relationships/hyperlink" Target="https://www.google.com/maps/search/?api=1&amp;query=&#8217;s%20Gravelandseweg%2080%2C%201217EW%2C%20Hilversum%20Netherlands" TargetMode="External" Id="rId36"/><Relationship Type="http://schemas.openxmlformats.org/officeDocument/2006/relationships/hyperlink" Target="https://www.google.com/maps/search/?api=1&amp;query=Gein%20Zuid%209%2C%201391%20GT%2C%20Abcoude%20Netherlands" TargetMode="External" Id="rId37"/><Relationship Type="http://schemas.openxmlformats.org/officeDocument/2006/relationships/hyperlink" Target="https://www.google.com/maps/search/?api=1&amp;query=Keienbergweg%2093%2C%201101%20GE%2C%20Amsterdam%20Netherlands" TargetMode="External" Id="rId38"/><Relationship Type="http://schemas.openxmlformats.org/officeDocument/2006/relationships/hyperlink" Target="https://www.google.com/maps/search/?api=1&amp;query=Helicopterstraat%2025L%2C%201059%20CE%2C%20Amsterdam%20Netherlands" TargetMode="External" Id="rId39"/><Relationship Type="http://schemas.openxmlformats.org/officeDocument/2006/relationships/hyperlink" Target="https://www.google.com/maps/search/?api=1&amp;query=Weerenweg%2013%20unit%20A%2C%201161%20AE%2C%20Zwanenburg%20Netherlands" TargetMode="External" Id="rId40"/><Relationship Type="http://schemas.openxmlformats.org/officeDocument/2006/relationships/hyperlink" Target="https://www.google.com/maps/search/?api=1&amp;query=Prinsengracht%20754-3%2C%201017%20LD%2C%20Amsterdam%20Netherlands" TargetMode="External" Id="rId41"/><Relationship Id="rIdX1" Type="http://schemas.openxmlformats.org/officeDocument/2006/relationships/comments" Target="../comments1.xml"/><Relationship Id="rIdX2" Type="http://schemas.openxmlformats.org/officeDocument/2006/relationships/vmlDrawing" Target="../drawings/vmlDrawing1.vml"/><Relationship Id="rIdX3" Type="http://schemas.microsoft.com/office/2017/10/relationships/threadedComment" Target="../threadedComments/threadedComment1.xml"/></Relationships>
</file>

<file path=xl/worksheets/sheet1.xml><?xml version="1.0" encoding="utf-8"?>
<worksheet xmlns="http://schemas.openxmlformats.org/spreadsheetml/2006/main">
  <sheetPr>
    <tabColor rgb="00244466"/>
    <outlinePr summaryBelow="1" summaryRight="1"/>
    <pageSetUpPr/>
  </sheetPr>
  <dimension ref="A1:K101"/>
  <sheetViews>
    <sheetView tabSelected="1" workbookViewId="0">
      <selection activeCell="A1" sqref="A1"/>
    </sheetView>
  </sheetViews>
  <sheetFormatPr baseColWidth="8" defaultRowHeight="15"/>
  <cols>
    <col width="24" customWidth="1" style="41" min="1" max="1"/>
    <col width="12" customWidth="1" style="41" min="2" max="2"/>
    <col width="36" customWidth="1" style="41" min="3" max="3"/>
    <col width="15" customWidth="1" style="41" min="4" max="4"/>
    <col width="46" customWidth="1" style="41" min="5" max="5"/>
    <col width="24" customWidth="1" style="41" min="6" max="6"/>
    <col width="19" customWidth="1" style="41" min="7" max="7"/>
    <col width="14" customWidth="1" style="41" min="8" max="8"/>
    <col width="14" customWidth="1" style="41" min="9" max="9"/>
    <col width="46" customWidth="1" style="41" min="10" max="10"/>
    <col width="18" customWidth="1" style="41" min="11" max="11"/>
  </cols>
  <sheetData>
    <row r="1" ht="18.95" customHeight="1" s="41">
      <c r="A1" s="42" t="inlineStr">
        <is>
          <t>ADE Door-to-Door | Paylogic | 2 teams x 3 dagen (di 13 t/m do 15 oktober)</t>
        </is>
      </c>
      <c r="B1" s="42" t="n"/>
      <c r="C1" s="42" t="n"/>
      <c r="D1" s="42" t="n"/>
      <c r="E1" s="42" t="n"/>
      <c r="F1" s="42" t="n"/>
      <c r="G1" s="42" t="n"/>
      <c r="H1" s="42" t="n"/>
      <c r="I1" s="42" t="n"/>
      <c r="J1" s="42" t="n"/>
      <c r="K1" s="42" t="n"/>
    </row>
    <row r="2">
      <c r="A2" t="inlineStr">
        <is>
          <t>Start / eind</t>
        </is>
      </c>
      <c r="B2" t="inlineStr">
        <is>
          <t>Amsterdam Centraal</t>
        </is>
      </c>
      <c r="C2" t="inlineStr">
        <is>
          <t>Start 09:30</t>
        </is>
      </c>
      <c r="D2" t="inlineStr">
        <is>
          <t>Uiterlijk circa 17:30</t>
        </is>
      </c>
    </row>
    <row r="3">
      <c r="A3" t="inlineStr">
        <is>
          <t>Bezoekduur</t>
        </is>
      </c>
      <c r="B3" t="inlineStr">
        <is>
          <t>20 minuten</t>
        </is>
      </c>
      <c r="C3" t="inlineStr">
        <is>
          <t>Lunch</t>
        </is>
      </c>
      <c r="D3" t="inlineStr">
        <is>
          <t>30 minuten, ingepland</t>
        </is>
      </c>
    </row>
    <row r="4">
      <c r="A4" t="inlineStr">
        <is>
          <t>Routeplanning</t>
        </is>
      </c>
      <c r="B4" t="inlineStr">
        <is>
          <t>Indicatief: rijtijden handmatig geschat; geen live Maps-tijden</t>
        </is>
      </c>
    </row>
    <row r="5">
      <c r="A5" t="inlineStr">
        <is>
          <t>Let op</t>
        </is>
      </c>
      <c r="B5" t="inlineStr">
        <is>
          <t>Dinsdag zit Friso van 12:45 tot 14:45 op kantoor (De Ruijterkade 113); de pauze van Friso + Thierry valt in dat blok. Milo rijdt dinsdag mee met Yasmijn + Steven, Cecil woensdag met Friso + Thierry (Ahoy-dag).</t>
        </is>
      </c>
    </row>
    <row r="6">
      <c r="A6" t="inlineStr">
        <is>
          <t>Legenda</t>
        </is>
      </c>
      <c r="C6" s="43" t="inlineStr">
        <is>
          <t>Verschoven naar Yasmijn + Steven (was Friso + Thierry)</t>
        </is>
      </c>
      <c r="D6" s="44" t="inlineStr">
        <is>
          <t>Overgenomen van andere leadowner</t>
        </is>
      </c>
      <c r="E6" s="45" t="inlineStr">
        <is>
          <t>Te laat (na 17:30 terug / na 12:45 op kantoor)</t>
        </is>
      </c>
      <c r="F6" s="46" t="inlineStr">
        <is>
          <t>Blauwe tekst = invoer (vertrek kantoor)</t>
        </is>
      </c>
    </row>
    <row r="8">
      <c r="A8" s="47" t="inlineStr">
        <is>
          <t>Team</t>
        </is>
      </c>
      <c r="B8" s="47" t="inlineStr">
        <is>
          <t>Dag</t>
        </is>
      </c>
      <c r="C8" s="47" t="inlineStr">
        <is>
          <t>Leads</t>
        </is>
      </c>
      <c r="D8" s="47" t="inlineStr">
        <is>
          <t>Eigen leads</t>
        </is>
      </c>
      <c r="E8" s="47" t="inlineStr">
        <is>
          <t>Overgenomen</t>
        </is>
      </c>
      <c r="F8" s="47" t="inlineStr">
        <is>
          <t>Rijtijd (min)</t>
        </is>
      </c>
      <c r="G8" s="47" t="inlineStr">
        <is>
          <t>Bezoektijd (min)</t>
        </is>
      </c>
      <c r="H8" s="47" t="inlineStr">
        <is>
          <t>Lunch (min)</t>
        </is>
      </c>
      <c r="I8" s="47" t="inlineStr">
        <is>
          <t>Terug ca.</t>
        </is>
      </c>
      <c r="J8" s="47" t="inlineStr">
        <is>
          <t>Binnen 17:30?</t>
        </is>
      </c>
    </row>
    <row r="9" ht="24" customHeight="1" s="41">
      <c r="A9" t="inlineStr">
        <is>
          <t>Yasmijn + Steven + Milo</t>
        </is>
      </c>
      <c r="B9" t="inlineStr">
        <is>
          <t>Dinsdag</t>
        </is>
      </c>
      <c r="C9">
        <f>COUNT(B20:B27)</f>
        <v>8</v>
      </c>
      <c r="D9">
        <f>COUNTIF(J20:J27,"Eigen lead*")</f>
        <v>4</v>
      </c>
      <c r="E9">
        <f>COUNTIF(J20:J27,"Overgenomen*")</f>
        <v>4</v>
      </c>
      <c r="F9">
        <f>SUM(G20:G28)</f>
        <v>280</v>
      </c>
      <c r="G9">
        <f>C9*20</f>
        <v>160</v>
      </c>
      <c r="H9" t="n">
        <v>30</v>
      </c>
      <c r="I9" s="48">
        <f>H28</f>
        <v>0.722222222222222</v>
      </c>
      <c r="J9" t="str">
        <f>IF(I9&lt;=TIME(17,30,0),"JA","NEE")</f>
        <v>JA</v>
      </c>
    </row>
    <row r="10" ht="24" customHeight="1" s="41">
      <c r="A10" t="inlineStr">
        <is>
          <t>Yasmijn + Steven</t>
        </is>
      </c>
      <c r="B10" t="inlineStr">
        <is>
          <t>Woensdag</t>
        </is>
      </c>
      <c r="C10">
        <f>COUNT(B47:B52)</f>
        <v>6</v>
      </c>
      <c r="D10">
        <f>COUNTIF(J47:J52,"Eigen lead*")</f>
        <v>6</v>
      </c>
      <c r="E10">
        <f>COUNTIF(J47:J52,"Overgenomen*")</f>
        <v>0</v>
      </c>
      <c r="F10">
        <f>SUM(G47:G53)</f>
        <v>330</v>
      </c>
      <c r="G10">
        <f>C10*20</f>
        <v>120</v>
      </c>
      <c r="H10" t="n">
        <v>30</v>
      </c>
      <c r="I10" s="48">
        <f>H53</f>
        <v>0.729166666666667</v>
      </c>
      <c r="J10" t="str">
        <f>IF(I10&lt;=TIME(17,30,0),"JA","NEE")</f>
        <v>JA</v>
      </c>
    </row>
    <row r="11" ht="24" customHeight="1" s="41">
      <c r="A11" t="inlineStr">
        <is>
          <t>Yasmijn + Steven</t>
        </is>
      </c>
      <c r="B11" t="inlineStr">
        <is>
          <t>Donderdag</t>
        </is>
      </c>
      <c r="C11">
        <f>COUNT(B69:B72)</f>
        <v>4</v>
      </c>
      <c r="D11">
        <f>COUNTIF(J69:J72,"Eigen lead*")</f>
        <v>3</v>
      </c>
      <c r="E11">
        <f>COUNTIF(J69:J72,"Overgenomen*")</f>
        <v>1</v>
      </c>
      <c r="F11">
        <f>SUM(G69:G73)</f>
        <v>339</v>
      </c>
      <c r="G11">
        <f>C11*20</f>
        <v>80</v>
      </c>
      <c r="H11" t="n">
        <v>30</v>
      </c>
      <c r="I11" s="48">
        <f>H73</f>
        <v>0.707638888888889</v>
      </c>
      <c r="J11" t="str">
        <f>IF(I11&lt;=TIME(17,30,0),"JA","NEE")</f>
        <v>JA</v>
      </c>
    </row>
    <row r="12" ht="24" customHeight="1" s="41">
      <c r="A12" t="inlineStr">
        <is>
          <t>Friso + Thierry</t>
        </is>
      </c>
      <c r="B12" t="inlineStr">
        <is>
          <t>Dinsdag</t>
        </is>
      </c>
      <c r="C12">
        <f>COUNT(B31:B40)</f>
        <v>9</v>
      </c>
      <c r="D12">
        <f>COUNTIF(J31:J40,"Eigen lead*")</f>
        <v>7</v>
      </c>
      <c r="E12">
        <f>COUNTIF(J31:J40,"Overgenomen*")</f>
        <v>2</v>
      </c>
      <c r="F12">
        <f>SUM(G31:G41)</f>
        <v>132</v>
      </c>
      <c r="G12">
        <f>C12*20</f>
        <v>180</v>
      </c>
      <c r="H12" t="n">
        <v>0</v>
      </c>
      <c r="I12" s="48">
        <f>H41</f>
        <v>0.709722222222222</v>
      </c>
      <c r="J12" t="str">
        <f>IF(I12&lt;=TIME(17,30,0),"JA","NEE")</f>
        <v>JA</v>
      </c>
    </row>
    <row r="13" ht="24" customHeight="1" s="41">
      <c r="A13" t="inlineStr">
        <is>
          <t>Friso + Thierry + Cecil</t>
        </is>
      </c>
      <c r="B13" t="inlineStr">
        <is>
          <t>Woensdag</t>
        </is>
      </c>
      <c r="C13">
        <f>COUNT(B56:B62)</f>
        <v>7</v>
      </c>
      <c r="D13">
        <f>COUNTIF(J56:J62,"Eigen lead*")</f>
        <v>6</v>
      </c>
      <c r="E13">
        <f>COUNTIF(J56:J62,"Overgenomen*")</f>
        <v>1</v>
      </c>
      <c r="F13">
        <f>SUM(G56:G63)</f>
        <v>286</v>
      </c>
      <c r="G13">
        <f>C13*20</f>
        <v>140</v>
      </c>
      <c r="H13" t="n">
        <v>30</v>
      </c>
      <c r="I13" s="48">
        <f>H63</f>
        <v>0.7125</v>
      </c>
      <c r="J13" t="str">
        <f>IF(I13&lt;=TIME(17,30,0),"JA","NEE")</f>
        <v>JA</v>
      </c>
    </row>
    <row r="14" ht="24" customHeight="1" s="41">
      <c r="A14" t="inlineStr">
        <is>
          <t>Friso + Thierry</t>
        </is>
      </c>
      <c r="B14" t="inlineStr">
        <is>
          <t>Donderdag</t>
        </is>
      </c>
      <c r="C14">
        <f>COUNT(B76:B81)</f>
        <v>6</v>
      </c>
      <c r="D14">
        <f>COUNTIF(J76:J81,"Eigen lead*")</f>
        <v>6</v>
      </c>
      <c r="E14">
        <f>COUNTIF(J76:J81,"Overgenomen*")</f>
        <v>0</v>
      </c>
      <c r="F14">
        <f>SUM(G76:G82)</f>
        <v>172</v>
      </c>
      <c r="G14">
        <f>C14*20</f>
        <v>120</v>
      </c>
      <c r="H14" t="n">
        <v>30</v>
      </c>
      <c r="I14" s="48">
        <f>H82</f>
        <v>0.619444444444445</v>
      </c>
      <c r="J14" t="str">
        <f>IF(I14&lt;=TIME(17,30,0),"JA","NEE")</f>
        <v>JA</v>
      </c>
    </row>
    <row r="15">
      <c r="A15" s="49" t="inlineStr">
        <is>
          <t>Totaal</t>
        </is>
      </c>
      <c r="C15" s="49">
        <f>SUM(C9:C14)</f>
        <v>40</v>
      </c>
      <c r="D15" s="49">
        <f>SUM(D9:D14)</f>
        <v>32</v>
      </c>
      <c r="E15" s="49">
        <f>SUM(E9:E14)</f>
        <v>8</v>
      </c>
      <c r="F15" s="49">
        <f>SUM(F9:F14)</f>
        <v>1539</v>
      </c>
      <c r="G15" s="49">
        <f>SUM(G9:G14)</f>
        <v>800</v>
      </c>
    </row>
    <row r="17" ht="15.95" customHeight="1" s="41">
      <c r="A17" s="50" t="inlineStr">
        <is>
          <t>DAG 1  |  DINSDAG 13 OKTOBER  |  VERTREK 09:30  |  20 MINUTEN PER LEAD + 30 MIN LUNCH</t>
        </is>
      </c>
      <c r="B17" s="50" t="n"/>
      <c r="C17" s="50" t="n"/>
      <c r="D17" s="50" t="n"/>
      <c r="E17" s="50" t="n"/>
      <c r="F17" s="50" t="n"/>
      <c r="G17" s="50" t="n"/>
      <c r="H17" s="50" t="n"/>
      <c r="I17" s="50" t="n"/>
      <c r="J17" s="50" t="n"/>
      <c r="K17" s="50" t="n"/>
    </row>
    <row r="18">
      <c r="A18" s="47" t="inlineStr">
        <is>
          <t>Team</t>
        </is>
      </c>
      <c r="B18" s="47" t="inlineStr">
        <is>
          <t>Stop</t>
        </is>
      </c>
      <c r="C18" s="47" t="inlineStr">
        <is>
          <t>Lead</t>
        </is>
      </c>
      <c r="D18" s="47" t="inlineStr">
        <is>
          <t>Leadowner</t>
        </is>
      </c>
      <c r="E18" s="47" t="inlineStr">
        <is>
          <t>Adres</t>
        </is>
      </c>
      <c r="F18" s="47" t="inlineStr">
        <is>
          <t>Plaats</t>
        </is>
      </c>
      <c r="G18" s="47" t="inlineStr">
        <is>
          <t>Rijtijd vanaf vorig (min)</t>
        </is>
      </c>
      <c r="H18" s="47" t="inlineStr">
        <is>
          <t>Aankomst</t>
        </is>
      </c>
      <c r="I18" s="47" t="inlineStr">
        <is>
          <t>Vertrek</t>
        </is>
      </c>
      <c r="J18" s="47" t="inlineStr">
        <is>
          <t>Opmerking</t>
        </is>
      </c>
      <c r="K18" s="47" t="inlineStr">
        <is>
          <t>Google Maps</t>
        </is>
      </c>
    </row>
    <row r="19">
      <c r="A19" s="51" t="inlineStr">
        <is>
          <t>Yasmijn + Steven + Milo</t>
        </is>
      </c>
      <c r="B19" s="51" t="inlineStr">
        <is>
          <t>START</t>
        </is>
      </c>
      <c r="C19" s="51" t="inlineStr">
        <is>
          <t>Amsterdam Centraal</t>
        </is>
      </c>
      <c r="D19" s="51" t="n"/>
      <c r="E19" s="51" t="inlineStr">
        <is>
          <t>Stationsplein, Amsterdam</t>
        </is>
      </c>
      <c r="F19" s="51" t="inlineStr">
        <is>
          <t>Amsterdam</t>
        </is>
      </c>
      <c r="G19" s="51" t="n">
        <v>0</v>
      </c>
      <c r="H19" s="52" t="n">
        <v>0.3958333333333333</v>
      </c>
      <c r="I19" s="52" t="n">
        <v>0.3958333333333333</v>
      </c>
      <c r="J19" s="51" t="inlineStr">
        <is>
          <t>Per auto; rijtijden indicatief | Milo rijdt mee</t>
        </is>
      </c>
      <c r="K19" s="51" t="n"/>
    </row>
    <row r="20" ht="33.95" customHeight="1" s="41">
      <c r="A20" s="11" t="inlineStr">
        <is>
          <t>Yasmijn + Steven + Milo</t>
        </is>
      </c>
      <c r="B20" s="11" t="n">
        <v>1</v>
      </c>
      <c r="C20" s="11" t="inlineStr">
        <is>
          <t>Intercell/ AFP</t>
        </is>
      </c>
      <c r="D20" s="11" t="inlineStr">
        <is>
          <t>Yasmijn</t>
        </is>
      </c>
      <c r="E20" s="11" t="inlineStr">
        <is>
          <t>Rokin 54 | 1012KV</t>
        </is>
      </c>
      <c r="F20" s="11" t="inlineStr">
        <is>
          <t>Amsterdam</t>
        </is>
      </c>
      <c r="G20" s="11" t="n">
        <v>11</v>
      </c>
      <c r="H20" s="53">
        <f>I19+G20/1440+0/1440</f>
        <v>0.403472222222222</v>
      </c>
      <c r="I20" s="53">
        <f>H20+20/1440</f>
        <v>0.417361111111111</v>
      </c>
      <c r="J20" s="11" t="inlineStr">
        <is>
          <t>Eigen lead</t>
        </is>
      </c>
      <c r="K20" s="54" t="inlineStr">
        <is>
          <t>Open adres</t>
        </is>
      </c>
    </row>
    <row r="21" ht="33.95" customHeight="1" s="41">
      <c r="A21" s="11" t="inlineStr">
        <is>
          <t>Yasmijn + Steven + Milo</t>
        </is>
      </c>
      <c r="B21" s="11" t="n">
        <v>2</v>
      </c>
      <c r="C21" s="11" t="inlineStr">
        <is>
          <t>Jaarbeurs</t>
        </is>
      </c>
      <c r="D21" s="11" t="inlineStr">
        <is>
          <t>Thierry</t>
        </is>
      </c>
      <c r="E21" s="11" t="inlineStr">
        <is>
          <t>Jaarbeursplein 6 | 3521 AL</t>
        </is>
      </c>
      <c r="F21" s="11" t="inlineStr">
        <is>
          <t>Utrecht</t>
        </is>
      </c>
      <c r="G21" s="11" t="n">
        <v>39</v>
      </c>
      <c r="H21" s="53">
        <f>I20+G21/1440+0/1440</f>
        <v>0.444444444444444</v>
      </c>
      <c r="I21" s="53">
        <f>H21+20/1440</f>
        <v>0.458333333333333</v>
      </c>
      <c r="J21" s="55" t="inlineStr">
        <is>
          <t>Overgenomen van Thierry</t>
        </is>
      </c>
      <c r="K21" s="54" t="inlineStr">
        <is>
          <t>Open adres</t>
        </is>
      </c>
    </row>
    <row r="22" ht="33.95" customHeight="1" s="41">
      <c r="A22" s="11" t="inlineStr">
        <is>
          <t>Yasmijn + Steven + Milo</t>
        </is>
      </c>
      <c r="B22" s="11" t="n">
        <v>3</v>
      </c>
      <c r="C22" s="11" t="inlineStr">
        <is>
          <t>Elevation Events</t>
        </is>
      </c>
      <c r="D22" s="11" t="inlineStr">
        <is>
          <t>Yasmijn</t>
        </is>
      </c>
      <c r="E22" s="11" t="inlineStr">
        <is>
          <t>Leidseweg 125 | 3533 HC</t>
        </is>
      </c>
      <c r="F22" s="11" t="inlineStr">
        <is>
          <t>Utrecht</t>
        </is>
      </c>
      <c r="G22" s="11" t="n">
        <v>5</v>
      </c>
      <c r="H22" s="53">
        <f>I21+G22/1440+0/1440</f>
        <v>0.461805555555556</v>
      </c>
      <c r="I22" s="53">
        <f>H22+20/1440</f>
        <v>0.475694444444444</v>
      </c>
      <c r="J22" s="11" t="inlineStr">
        <is>
          <t>Eigen lead</t>
        </is>
      </c>
      <c r="K22" s="54" t="inlineStr">
        <is>
          <t>Open adres</t>
        </is>
      </c>
    </row>
    <row r="23" ht="33.95" customHeight="1" s="41">
      <c r="A23" s="11" t="inlineStr">
        <is>
          <t>Yasmijn + Steven + Milo</t>
        </is>
      </c>
      <c r="B23" s="11" t="n">
        <v>4</v>
      </c>
      <c r="C23" s="11" t="inlineStr">
        <is>
          <t>Studio Linksvoor</t>
        </is>
      </c>
      <c r="D23" s="11" t="inlineStr">
        <is>
          <t>Yasmijn</t>
        </is>
      </c>
      <c r="E23" s="11" t="inlineStr">
        <is>
          <t>De Kolk 13 | 6541 AV</t>
        </is>
      </c>
      <c r="F23" s="11" t="inlineStr">
        <is>
          <t>Nijmegen</t>
        </is>
      </c>
      <c r="G23" s="11" t="n">
        <v>63</v>
      </c>
      <c r="H23" s="53">
        <f>I22+G23/1440+0/1440</f>
        <v>0.519444444444445</v>
      </c>
      <c r="I23" s="53">
        <f>H23+20/1440</f>
        <v>0.533333333333333</v>
      </c>
      <c r="J23" s="11" t="inlineStr">
        <is>
          <t>Eigen lead</t>
        </is>
      </c>
      <c r="K23" s="54" t="inlineStr">
        <is>
          <t>Open adres</t>
        </is>
      </c>
    </row>
    <row r="24" ht="33.95" customHeight="1" s="41">
      <c r="A24" s="11" t="inlineStr">
        <is>
          <t>Yasmijn + Steven + Milo</t>
        </is>
      </c>
      <c r="B24" s="11" t="n">
        <v>5</v>
      </c>
      <c r="C24" s="11" t="inlineStr">
        <is>
          <t>Classified Events [Urgent]</t>
        </is>
      </c>
      <c r="D24" s="11" t="inlineStr">
        <is>
          <t>Thierry</t>
        </is>
      </c>
      <c r="E24" s="11" t="inlineStr">
        <is>
          <t>Oude Molenweg 112 | 6533WN</t>
        </is>
      </c>
      <c r="F24" s="11" t="inlineStr">
        <is>
          <t>Nijmegen</t>
        </is>
      </c>
      <c r="G24" s="11" t="n">
        <v>14</v>
      </c>
      <c r="H24" s="53">
        <f>I23+G24/1440+30/1440</f>
        <v>0.563888888888889</v>
      </c>
      <c r="I24" s="53">
        <f>H24+20/1440</f>
        <v>0.577777777777778</v>
      </c>
      <c r="J24" s="55" t="inlineStr">
        <is>
          <t>Overgenomen van Thierry</t>
        </is>
      </c>
      <c r="K24" s="54" t="inlineStr">
        <is>
          <t>Open adres</t>
        </is>
      </c>
    </row>
    <row r="25" ht="33.95" customHeight="1" s="41">
      <c r="A25" s="11" t="inlineStr">
        <is>
          <t>Yasmijn + Steven + Milo</t>
        </is>
      </c>
      <c r="B25" s="11" t="n">
        <v>6</v>
      </c>
      <c r="C25" s="11" t="inlineStr">
        <is>
          <t>Listen to Flow</t>
        </is>
      </c>
      <c r="D25" s="11" t="inlineStr">
        <is>
          <t>Thierry</t>
        </is>
      </c>
      <c r="E25" s="11" t="inlineStr">
        <is>
          <t>Roodwilligen 63 | 6903 TB</t>
        </is>
      </c>
      <c r="F25" s="11" t="inlineStr">
        <is>
          <t>Zevenaar</t>
        </is>
      </c>
      <c r="G25" s="11" t="n">
        <v>30</v>
      </c>
      <c r="H25" s="53">
        <f>I24+G25/1440+0/1440</f>
        <v>0.598611111111111</v>
      </c>
      <c r="I25" s="53">
        <f>H25+20/1440</f>
        <v>0.6125</v>
      </c>
      <c r="J25" s="55" t="inlineStr">
        <is>
          <t>Overgenomen van Thierry</t>
        </is>
      </c>
      <c r="K25" s="54" t="inlineStr">
        <is>
          <t>Open adres</t>
        </is>
      </c>
    </row>
    <row r="26" ht="33.95" customHeight="1" s="41">
      <c r="A26" s="11" t="inlineStr">
        <is>
          <t>Yasmijn + Steven + Milo</t>
        </is>
      </c>
      <c r="B26" s="11" t="n">
        <v>7</v>
      </c>
      <c r="C26" s="11" t="inlineStr">
        <is>
          <t>ONA Groep</t>
        </is>
      </c>
      <c r="D26" s="11" t="inlineStr">
        <is>
          <t>Yasmijn</t>
        </is>
      </c>
      <c r="E26" s="11" t="inlineStr">
        <is>
          <t>Nijverheidsweg 16 | 3762 ER</t>
        </is>
      </c>
      <c r="F26" s="11" t="inlineStr">
        <is>
          <t>Soest</t>
        </is>
      </c>
      <c r="G26" s="11" t="n">
        <v>61</v>
      </c>
      <c r="H26" s="53">
        <f>I25+G26/1440+0/1440</f>
        <v>0.654861111111111</v>
      </c>
      <c r="I26" s="53">
        <f>H26+20/1440</f>
        <v>0.66875</v>
      </c>
      <c r="J26" s="11" t="inlineStr">
        <is>
          <t>Eigen lead</t>
        </is>
      </c>
      <c r="K26" s="54" t="inlineStr">
        <is>
          <t>Open adres</t>
        </is>
      </c>
    </row>
    <row r="27" ht="33.95" customHeight="1" s="41">
      <c r="A27" s="11" t="inlineStr">
        <is>
          <t>Yasmijn + Steven + Milo</t>
        </is>
      </c>
      <c r="B27" s="11" t="n">
        <v>8</v>
      </c>
      <c r="C27" s="11" t="inlineStr">
        <is>
          <t>Reggae Lake</t>
        </is>
      </c>
      <c r="D27" s="11" t="inlineStr">
        <is>
          <t>Friso</t>
        </is>
      </c>
      <c r="E27" s="11" t="inlineStr">
        <is>
          <t>Zeeburgerdijk 19B | 1093SK</t>
        </is>
      </c>
      <c r="F27" s="11" t="inlineStr">
        <is>
          <t>Amsterdam</t>
        </is>
      </c>
      <c r="G27" s="11" t="n">
        <v>45</v>
      </c>
      <c r="H27" s="53">
        <f>I26+G27/1440+0/1440</f>
        <v>0.7</v>
      </c>
      <c r="I27" s="53">
        <f>H27+20/1440</f>
        <v>0.713888888888889</v>
      </c>
      <c r="J27" s="55" t="inlineStr">
        <is>
          <t>Overgenomen van Friso</t>
        </is>
      </c>
      <c r="K27" s="54" t="inlineStr">
        <is>
          <t>Open adres</t>
        </is>
      </c>
    </row>
    <row r="28">
      <c r="A28" s="51" t="inlineStr">
        <is>
          <t>Yasmijn + Steven + Milo</t>
        </is>
      </c>
      <c r="B28" s="51" t="inlineStr">
        <is>
          <t>TERUG</t>
        </is>
      </c>
      <c r="C28" s="51" t="inlineStr">
        <is>
          <t>Amsterdam Centraal</t>
        </is>
      </c>
      <c r="D28" s="51" t="n"/>
      <c r="E28" s="51" t="inlineStr">
        <is>
          <t>Stationsplein</t>
        </is>
      </c>
      <c r="F28" s="51" t="inlineStr">
        <is>
          <t>Amsterdam</t>
        </is>
      </c>
      <c r="G28" s="51" t="n">
        <v>12</v>
      </c>
      <c r="H28" s="52">
        <f>I27+G28/1440+0/1440</f>
        <v>0.722222222222222</v>
      </c>
      <c r="I28" s="52">
        <f>H28</f>
        <v>0.722222222222222</v>
      </c>
      <c r="J28" s="56" t="str">
        <f>IF(H28&gt;TIME(17,30,0),"Inclusief lunch van 30 min | LET OP: na 17:30 terug, zie Aandachtspunten","Inclusief lunch van 30 min")</f>
        <v>Inclusief lunch van 30 min</v>
      </c>
      <c r="K28" s="51" t="n"/>
    </row>
    <row r="30">
      <c r="A30" s="51" t="inlineStr">
        <is>
          <t>Friso + Thierry</t>
        </is>
      </c>
      <c r="B30" s="51" t="inlineStr">
        <is>
          <t>START</t>
        </is>
      </c>
      <c r="C30" s="51" t="inlineStr">
        <is>
          <t>Amsterdam Centraal</t>
        </is>
      </c>
      <c r="D30" s="51" t="n"/>
      <c r="E30" s="51" t="inlineStr">
        <is>
          <t>Stationsplein, Amsterdam</t>
        </is>
      </c>
      <c r="F30" s="51" t="inlineStr">
        <is>
          <t>Amsterdam</t>
        </is>
      </c>
      <c r="G30" s="51" t="n">
        <v>0</v>
      </c>
      <c r="H30" s="52" t="n">
        <v>0.3958333333333333</v>
      </c>
      <c r="I30" s="52" t="n">
        <v>0.3958333333333333</v>
      </c>
      <c r="J30" s="51" t="inlineStr">
        <is>
          <t>Per auto; rijtijden indicatief</t>
        </is>
      </c>
      <c r="K30" s="51" t="n"/>
    </row>
    <row r="31" ht="33.95" customHeight="1" s="41">
      <c r="A31" s="11" t="inlineStr">
        <is>
          <t>Friso + Thierry</t>
        </is>
      </c>
      <c r="B31" s="11" t="n">
        <v>1</v>
      </c>
      <c r="C31" s="11" t="inlineStr">
        <is>
          <t>Making Waves</t>
        </is>
      </c>
      <c r="D31" s="11" t="inlineStr">
        <is>
          <t>Odin</t>
        </is>
      </c>
      <c r="E31" s="11" t="inlineStr">
        <is>
          <t>Doctor Jan van Breemenstraat 1 | 1056 Ab</t>
        </is>
      </c>
      <c r="F31" s="11" t="inlineStr">
        <is>
          <t>Amsterdam</t>
        </is>
      </c>
      <c r="G31" s="11" t="n">
        <v>20</v>
      </c>
      <c r="H31" s="53">
        <f>I30+G31/1440+0/1440</f>
        <v>0.409722222222222</v>
      </c>
      <c r="I31" s="53">
        <f>H31+20/1440</f>
        <v>0.423611111111111</v>
      </c>
      <c r="J31" s="55" t="inlineStr">
        <is>
          <t>Overgenomen van Odin</t>
        </is>
      </c>
      <c r="K31" s="54" t="inlineStr">
        <is>
          <t>Open adres</t>
        </is>
      </c>
    </row>
    <row r="32" ht="33.95" customHeight="1" s="41">
      <c r="A32" s="11" t="inlineStr">
        <is>
          <t>Friso + Thierry</t>
        </is>
      </c>
      <c r="B32" s="11" t="n">
        <v>2</v>
      </c>
      <c r="C32" s="11" t="inlineStr">
        <is>
          <t>VBX</t>
        </is>
      </c>
      <c r="D32" s="11" t="inlineStr">
        <is>
          <t>Friso</t>
        </is>
      </c>
      <c r="E32" s="11" t="inlineStr">
        <is>
          <t>Krelis Louwenstraat 1 | 1055 KA</t>
        </is>
      </c>
      <c r="F32" s="11" t="inlineStr">
        <is>
          <t>Amsterdam</t>
        </is>
      </c>
      <c r="G32" s="11" t="n">
        <v>8</v>
      </c>
      <c r="H32" s="53">
        <f>I31+G32/1440+0/1440</f>
        <v>0.429166666666667</v>
      </c>
      <c r="I32" s="53">
        <f>H32+20/1440</f>
        <v>0.443055555555556</v>
      </c>
      <c r="J32" s="11" t="inlineStr">
        <is>
          <t>Eigen lead</t>
        </is>
      </c>
      <c r="K32" s="54" t="inlineStr">
        <is>
          <t>Open adres</t>
        </is>
      </c>
    </row>
    <row r="33" ht="33.95" customHeight="1" s="41">
      <c r="A33" s="11" t="inlineStr">
        <is>
          <t>Friso + Thierry</t>
        </is>
      </c>
      <c r="B33" s="11" t="n">
        <v>3</v>
      </c>
      <c r="C33" s="11" t="inlineStr">
        <is>
          <t>Thuishaven</t>
        </is>
      </c>
      <c r="D33" s="11" t="inlineStr">
        <is>
          <t>Friso</t>
        </is>
      </c>
      <c r="E33" s="11" t="inlineStr">
        <is>
          <t>Contactweg 68 | 1014 BW</t>
        </is>
      </c>
      <c r="F33" s="11" t="inlineStr">
        <is>
          <t>Amsterdam</t>
        </is>
      </c>
      <c r="G33" s="11" t="n">
        <v>12</v>
      </c>
      <c r="H33" s="53">
        <f>I32+G33/1440+0/1440</f>
        <v>0.451388888888889</v>
      </c>
      <c r="I33" s="53">
        <f>H33+20/1440</f>
        <v>0.465277777777778</v>
      </c>
      <c r="J33" s="11" t="inlineStr">
        <is>
          <t>Eigen lead</t>
        </is>
      </c>
      <c r="K33" s="54" t="inlineStr">
        <is>
          <t>Open adres</t>
        </is>
      </c>
    </row>
    <row r="34" ht="33.95" customHeight="1" s="41">
      <c r="A34" s="11" t="inlineStr">
        <is>
          <t>Friso + Thierry</t>
        </is>
      </c>
      <c r="B34" s="11" t="n">
        <v>4</v>
      </c>
      <c r="C34" s="11" t="inlineStr">
        <is>
          <t>IsBurning</t>
        </is>
      </c>
      <c r="D34" s="11" t="inlineStr">
        <is>
          <t>Friso</t>
        </is>
      </c>
      <c r="E34" s="11" t="inlineStr">
        <is>
          <t>Elementenstraat 25 | 1014 AS</t>
        </is>
      </c>
      <c r="F34" s="11" t="inlineStr">
        <is>
          <t>Amsterdam</t>
        </is>
      </c>
      <c r="G34" s="11" t="n">
        <v>10</v>
      </c>
      <c r="H34" s="53">
        <f>I33+G34/1440+0/1440</f>
        <v>0.472222222222222</v>
      </c>
      <c r="I34" s="53">
        <f>H34+20/1440</f>
        <v>0.486111111111111</v>
      </c>
      <c r="J34" s="11" t="inlineStr">
        <is>
          <t>Eigen lead</t>
        </is>
      </c>
      <c r="K34" s="54" t="inlineStr">
        <is>
          <t>Open adres</t>
        </is>
      </c>
    </row>
    <row r="35" ht="33.95" customHeight="1" s="41">
      <c r="A35" s="11" t="inlineStr">
        <is>
          <t>Friso + Thierry</t>
        </is>
      </c>
      <c r="B35" s="11" t="n">
        <v>5</v>
      </c>
      <c r="C35" s="11" t="inlineStr">
        <is>
          <t>Chasing the Hihat</t>
        </is>
      </c>
      <c r="D35" s="11" t="inlineStr">
        <is>
          <t>Friso</t>
        </is>
      </c>
      <c r="E35" s="11" t="inlineStr">
        <is>
          <t>Danzigerbocht 21 | 1013 AM</t>
        </is>
      </c>
      <c r="F35" s="11" t="inlineStr">
        <is>
          <t>Amsterdam</t>
        </is>
      </c>
      <c r="G35" s="11" t="n">
        <v>12</v>
      </c>
      <c r="H35" s="53">
        <f>I34+G35/1440+0/1440</f>
        <v>0.494444444444444</v>
      </c>
      <c r="I35" s="53">
        <f>H35+20/1440</f>
        <v>0.508333333333333</v>
      </c>
      <c r="J35" s="11" t="inlineStr">
        <is>
          <t>Eigen lead</t>
        </is>
      </c>
      <c r="K35" s="54" t="inlineStr">
        <is>
          <t>Open adres</t>
        </is>
      </c>
    </row>
    <row r="36" ht="33.95" customHeight="1" s="41">
      <c r="A36" s="57" t="inlineStr">
        <is>
          <t>Friso + Thierry</t>
        </is>
      </c>
      <c r="B36" s="57" t="inlineStr">
        <is>
          <t>KANTOOR</t>
        </is>
      </c>
      <c r="C36" s="57" t="inlineStr">
        <is>
          <t>Paylogic kantoor | Friso afzetten en ophalen</t>
        </is>
      </c>
      <c r="D36" s="57" t="inlineStr">
        <is>
          <t>Friso</t>
        </is>
      </c>
      <c r="E36" s="57" t="inlineStr">
        <is>
          <t>De Ruijterkade 113</t>
        </is>
      </c>
      <c r="F36" s="57" t="inlineStr">
        <is>
          <t>Amsterdam</t>
        </is>
      </c>
      <c r="G36" s="57" t="n">
        <v>13</v>
      </c>
      <c r="H36" s="58">
        <f>I35+G36/1440</f>
        <v>0.517361111111111</v>
      </c>
      <c r="I36" s="59" t="n">
        <v>0.6145833333333334</v>
      </c>
      <c r="J36" s="57" t="inlineStr">
        <is>
          <t>Meeting Friso 12:45-14:45, pauze in dit blok. Uitloop? Pas vertrektijd (blauw) aan.</t>
        </is>
      </c>
      <c r="K36" s="60" t="inlineStr">
        <is>
          <t>Open adres</t>
        </is>
      </c>
    </row>
    <row r="37" ht="33.95" customHeight="1" s="41">
      <c r="A37" s="11" t="inlineStr">
        <is>
          <t>Friso + Thierry</t>
        </is>
      </c>
      <c r="B37" s="11" t="n">
        <v>6</v>
      </c>
      <c r="C37" s="11" t="inlineStr">
        <is>
          <t>Studio Wieman</t>
        </is>
      </c>
      <c r="D37" s="11" t="inlineStr">
        <is>
          <t>Friso</t>
        </is>
      </c>
      <c r="E37" s="11" t="inlineStr">
        <is>
          <t>Papaverweg 14 | 1032 KH</t>
        </is>
      </c>
      <c r="F37" s="11" t="inlineStr">
        <is>
          <t>Amsterdam</t>
        </is>
      </c>
      <c r="G37" s="11" t="n">
        <v>12</v>
      </c>
      <c r="H37" s="53">
        <f>I36+G37/1440+0/1440</f>
        <v>0.622916666666667</v>
      </c>
      <c r="I37" s="53">
        <f>H37+20/1440</f>
        <v>0.636805555555556</v>
      </c>
      <c r="J37" s="11" t="inlineStr">
        <is>
          <t>Eigen lead</t>
        </is>
      </c>
      <c r="K37" s="54" t="inlineStr">
        <is>
          <t>Open adres</t>
        </is>
      </c>
    </row>
    <row r="38" ht="33.95" customHeight="1" s="41">
      <c r="A38" s="11" t="inlineStr">
        <is>
          <t>Friso + Thierry</t>
        </is>
      </c>
      <c r="B38" s="11" t="n">
        <v>7</v>
      </c>
      <c r="C38" s="11" t="inlineStr">
        <is>
          <t>ingang / no clubs</t>
        </is>
      </c>
      <c r="D38" s="11" t="inlineStr">
        <is>
          <t>Friso</t>
        </is>
      </c>
      <c r="E38" s="11" t="inlineStr">
        <is>
          <t>Gedempt Hamerkanaal 86 | 1021 KR</t>
        </is>
      </c>
      <c r="F38" s="11" t="inlineStr">
        <is>
          <t>Amsterdam</t>
        </is>
      </c>
      <c r="G38" s="11" t="n">
        <v>8</v>
      </c>
      <c r="H38" s="53">
        <f>I37+G38/1440+0/1440</f>
        <v>0.642361111111111</v>
      </c>
      <c r="I38" s="53">
        <f>H38+20/1440</f>
        <v>0.65625</v>
      </c>
      <c r="J38" s="11" t="inlineStr">
        <is>
          <t>Eigen lead</t>
        </is>
      </c>
      <c r="K38" s="54" t="inlineStr">
        <is>
          <t>Open adres</t>
        </is>
      </c>
    </row>
    <row r="39" ht="33.95" customHeight="1" s="41">
      <c r="A39" s="11" t="inlineStr">
        <is>
          <t>Friso + Thierry</t>
        </is>
      </c>
      <c r="B39" s="11" t="n">
        <v>8</v>
      </c>
      <c r="C39" s="11" t="inlineStr">
        <is>
          <t>A Venue</t>
        </is>
      </c>
      <c r="D39" s="11" t="inlineStr">
        <is>
          <t>Friso</t>
        </is>
      </c>
      <c r="E39" s="11" t="inlineStr">
        <is>
          <t>Keizersgracht 618 | 1017 ER</t>
        </is>
      </c>
      <c r="F39" s="11" t="inlineStr">
        <is>
          <t>Amsterdam</t>
        </is>
      </c>
      <c r="G39" s="11" t="n">
        <v>18</v>
      </c>
      <c r="H39" s="53">
        <f>I38+G39/1440+0/1440</f>
        <v>0.66875</v>
      </c>
      <c r="I39" s="53">
        <f>H39+20/1440</f>
        <v>0.682638888888889</v>
      </c>
      <c r="J39" s="11" t="inlineStr">
        <is>
          <t>Eigen lead</t>
        </is>
      </c>
      <c r="K39" s="54" t="inlineStr">
        <is>
          <t>Open adres</t>
        </is>
      </c>
    </row>
    <row r="40" ht="33.95" customHeight="1" s="41">
      <c r="A40" s="11" t="inlineStr">
        <is>
          <t>Friso + Thierry</t>
        </is>
      </c>
      <c r="B40" s="11" t="n">
        <v>9</v>
      </c>
      <c r="C40" s="11" t="inlineStr">
        <is>
          <t>Melkweg</t>
        </is>
      </c>
      <c r="D40" s="11" t="inlineStr">
        <is>
          <t>Odin</t>
        </is>
      </c>
      <c r="E40" s="11" t="inlineStr">
        <is>
          <t>Lijnbaansgracht 234A | 1017 PH</t>
        </is>
      </c>
      <c r="F40" s="11" t="inlineStr">
        <is>
          <t>Amsterdam</t>
        </is>
      </c>
      <c r="G40" s="11" t="n">
        <v>5</v>
      </c>
      <c r="H40" s="53">
        <f>I39+G40/1440+0/1440</f>
        <v>0.686111111111111</v>
      </c>
      <c r="I40" s="53">
        <f>H40+20/1440</f>
        <v>0.7</v>
      </c>
      <c r="J40" s="55" t="inlineStr">
        <is>
          <t>Overgenomen van Odin</t>
        </is>
      </c>
      <c r="K40" s="54" t="inlineStr">
        <is>
          <t>Open adres</t>
        </is>
      </c>
    </row>
    <row r="41">
      <c r="A41" s="51" t="inlineStr">
        <is>
          <t>Friso + Thierry</t>
        </is>
      </c>
      <c r="B41" s="51" t="inlineStr">
        <is>
          <t>TERUG</t>
        </is>
      </c>
      <c r="C41" s="51" t="inlineStr">
        <is>
          <t>Amsterdam Centraal</t>
        </is>
      </c>
      <c r="D41" s="51" t="n"/>
      <c r="E41" s="51" t="inlineStr">
        <is>
          <t>Stationsplein</t>
        </is>
      </c>
      <c r="F41" s="51" t="inlineStr">
        <is>
          <t>Amsterdam</t>
        </is>
      </c>
      <c r="G41" s="51" t="n">
        <v>14</v>
      </c>
      <c r="H41" s="52">
        <f>I40+G41/1440+0/1440</f>
        <v>0.709722222222222</v>
      </c>
      <c r="I41" s="52">
        <f>H41</f>
        <v>0.709722222222222</v>
      </c>
      <c r="J41" s="56" t="str">
        <f>IF(H41&gt;TIME(17,30,0),"Pauze tijdens meeting Friso | LET OP: na 17:30 terug, zie Aandachtspunten","Pauze tijdens meeting Friso")</f>
        <v>Pauze tijdens meeting Friso</v>
      </c>
      <c r="K41" s="51" t="n"/>
    </row>
    <row r="44" ht="15.95" customHeight="1" s="41">
      <c r="A44" s="50" t="inlineStr">
        <is>
          <t>DAG 2  |  WOENSDAG 14 OKTOBER  |  VERTREK 09:30  |  20 MINUTEN PER LEAD + 30 MIN LUNCH</t>
        </is>
      </c>
      <c r="B44" s="50" t="n"/>
      <c r="C44" s="50" t="n"/>
      <c r="D44" s="50" t="n"/>
      <c r="E44" s="50" t="n"/>
      <c r="F44" s="50" t="n"/>
      <c r="G44" s="50" t="n"/>
      <c r="H44" s="50" t="n"/>
      <c r="I44" s="50" t="n"/>
      <c r="J44" s="50" t="n"/>
      <c r="K44" s="50" t="n"/>
    </row>
    <row r="45">
      <c r="A45" s="47" t="inlineStr">
        <is>
          <t>Team</t>
        </is>
      </c>
      <c r="B45" s="47" t="inlineStr">
        <is>
          <t>Stop</t>
        </is>
      </c>
      <c r="C45" s="47" t="inlineStr">
        <is>
          <t>Lead</t>
        </is>
      </c>
      <c r="D45" s="47" t="inlineStr">
        <is>
          <t>Leadowner</t>
        </is>
      </c>
      <c r="E45" s="47" t="inlineStr">
        <is>
          <t>Adres</t>
        </is>
      </c>
      <c r="F45" s="47" t="inlineStr">
        <is>
          <t>Plaats</t>
        </is>
      </c>
      <c r="G45" s="47" t="inlineStr">
        <is>
          <t>Rijtijd vanaf vorig (min)</t>
        </is>
      </c>
      <c r="H45" s="47" t="inlineStr">
        <is>
          <t>Aankomst</t>
        </is>
      </c>
      <c r="I45" s="47" t="inlineStr">
        <is>
          <t>Vertrek</t>
        </is>
      </c>
      <c r="J45" s="47" t="inlineStr">
        <is>
          <t>Opmerking</t>
        </is>
      </c>
      <c r="K45" s="47" t="inlineStr">
        <is>
          <t>Google Maps</t>
        </is>
      </c>
    </row>
    <row r="46">
      <c r="A46" s="51" t="inlineStr">
        <is>
          <t>Yasmijn + Steven</t>
        </is>
      </c>
      <c r="B46" s="51" t="inlineStr">
        <is>
          <t>START</t>
        </is>
      </c>
      <c r="C46" s="51" t="inlineStr">
        <is>
          <t>Amsterdam Centraal</t>
        </is>
      </c>
      <c r="D46" s="51" t="n"/>
      <c r="E46" s="51" t="inlineStr">
        <is>
          <t>Stationsplein, Amsterdam</t>
        </is>
      </c>
      <c r="F46" s="51" t="inlineStr">
        <is>
          <t>Amsterdam</t>
        </is>
      </c>
      <c r="G46" s="51" t="n">
        <v>0</v>
      </c>
      <c r="H46" s="52" t="n">
        <v>0.3958333333333333</v>
      </c>
      <c r="I46" s="52" t="n">
        <v>0.3958333333333333</v>
      </c>
      <c r="J46" s="51" t="inlineStr">
        <is>
          <t>Per auto; rijtijden indicatief</t>
        </is>
      </c>
      <c r="K46" s="51" t="n"/>
    </row>
    <row r="47" ht="33.95" customHeight="1" s="41">
      <c r="A47" s="61" t="inlineStr">
        <is>
          <t>Yasmijn + Steven</t>
        </is>
      </c>
      <c r="B47" s="61" t="n">
        <v>1</v>
      </c>
      <c r="C47" s="62" t="inlineStr">
        <is>
          <t>Gashouder</t>
        </is>
      </c>
      <c r="D47" s="11" t="inlineStr">
        <is>
          <t>Yasmijn</t>
        </is>
      </c>
      <c r="E47" s="11" t="inlineStr">
        <is>
          <t>Polonceaukade 9 | 1014 DA</t>
        </is>
      </c>
      <c r="F47" s="11" t="inlineStr">
        <is>
          <t>Amsterdam</t>
        </is>
      </c>
      <c r="G47" s="11" t="n">
        <v>14</v>
      </c>
      <c r="H47" s="53">
        <f>I46+G47/1440+0/1440</f>
        <v>0.405555555555556</v>
      </c>
      <c r="I47" s="53">
        <f>H47+20/1440</f>
        <v>0.419444444444444</v>
      </c>
      <c r="J47" s="11" t="inlineStr">
        <is>
          <t>Eigen lead (was Friso + Thierry)</t>
        </is>
      </c>
      <c r="K47" s="54" t="inlineStr">
        <is>
          <t>Open adres</t>
        </is>
      </c>
    </row>
    <row r="48" ht="33.95" customHeight="1" s="41">
      <c r="A48" s="61" t="inlineStr">
        <is>
          <t>Yasmijn + Steven</t>
        </is>
      </c>
      <c r="B48" s="61" t="n">
        <v>2</v>
      </c>
      <c r="C48" s="62" t="inlineStr">
        <is>
          <t>Dfrnt Festival (Tapt)</t>
        </is>
      </c>
      <c r="D48" s="11" t="inlineStr">
        <is>
          <t>Yasmijn</t>
        </is>
      </c>
      <c r="E48" s="11" t="inlineStr">
        <is>
          <t>Dukdalfweg 38 | 1041 BE</t>
        </is>
      </c>
      <c r="F48" s="11" t="inlineStr">
        <is>
          <t>Amsterdam</t>
        </is>
      </c>
      <c r="G48" s="11" t="n">
        <v>13</v>
      </c>
      <c r="H48" s="53">
        <f>I47+G48/1440+0/1440</f>
        <v>0.428472222222222</v>
      </c>
      <c r="I48" s="53">
        <f>H48+20/1440</f>
        <v>0.442361111111111</v>
      </c>
      <c r="J48" s="11" t="inlineStr">
        <is>
          <t>Eigen lead (was Friso + Thierry)</t>
        </is>
      </c>
      <c r="K48" s="54" t="inlineStr">
        <is>
          <t>Open adres</t>
        </is>
      </c>
    </row>
    <row r="49" ht="33.95" customHeight="1" s="41">
      <c r="A49" s="61" t="inlineStr">
        <is>
          <t>Yasmijn + Steven</t>
        </is>
      </c>
      <c r="B49" s="61" t="n">
        <v>3</v>
      </c>
      <c r="C49" s="62" t="inlineStr">
        <is>
          <t>Lofi</t>
        </is>
      </c>
      <c r="D49" s="11" t="inlineStr">
        <is>
          <t>Yasmijn</t>
        </is>
      </c>
      <c r="E49" s="11" t="inlineStr">
        <is>
          <t>Basisweg 63 | 1043 AN</t>
        </is>
      </c>
      <c r="F49" s="11" t="inlineStr">
        <is>
          <t>Amsterdam</t>
        </is>
      </c>
      <c r="G49" s="11" t="n">
        <v>10</v>
      </c>
      <c r="H49" s="53">
        <f>I48+G49/1440+0/1440</f>
        <v>0.449305555555556</v>
      </c>
      <c r="I49" s="53">
        <f>H49+20/1440</f>
        <v>0.463194444444444</v>
      </c>
      <c r="J49" s="11" t="inlineStr">
        <is>
          <t>Eigen lead (was Friso + Thierry)</t>
        </is>
      </c>
      <c r="K49" s="54" t="inlineStr">
        <is>
          <t>Open adres</t>
        </is>
      </c>
    </row>
    <row r="50" ht="33.95" customHeight="1" s="41">
      <c r="A50" s="11" t="inlineStr">
        <is>
          <t>Yasmijn + Steven</t>
        </is>
      </c>
      <c r="B50" s="11" t="n">
        <v>4</v>
      </c>
      <c r="C50" s="11" t="inlineStr">
        <is>
          <t>Kaleidoscope</t>
        </is>
      </c>
      <c r="D50" s="11" t="inlineStr">
        <is>
          <t>Yasmijn</t>
        </is>
      </c>
      <c r="E50" s="11" t="inlineStr">
        <is>
          <t>Helsinkistraat 6 | 9723 BD</t>
        </is>
      </c>
      <c r="F50" s="11" t="inlineStr">
        <is>
          <t>Groningen</t>
        </is>
      </c>
      <c r="G50" s="11" t="n">
        <v>126</v>
      </c>
      <c r="H50" s="53">
        <f>I49+G50/1440+0/1440</f>
        <v>0.550694444444445</v>
      </c>
      <c r="I50" s="53">
        <f>H50+20/1440</f>
        <v>0.564583333333333</v>
      </c>
      <c r="J50" s="11" t="inlineStr">
        <is>
          <t>Eigen lead</t>
        </is>
      </c>
      <c r="K50" s="54" t="inlineStr">
        <is>
          <t>Open adres</t>
        </is>
      </c>
    </row>
    <row r="51" ht="33.95" customHeight="1" s="41">
      <c r="A51" s="11" t="inlineStr">
        <is>
          <t>Yasmijn + Steven</t>
        </is>
      </c>
      <c r="B51" s="11" t="n">
        <v>5</v>
      </c>
      <c r="C51" s="11" t="inlineStr">
        <is>
          <t>Paradigm</t>
        </is>
      </c>
      <c r="D51" s="11" t="inlineStr">
        <is>
          <t>Yasmijn</t>
        </is>
      </c>
      <c r="E51" s="11" t="inlineStr">
        <is>
          <t>Energieweg 10 | 9743 AN</t>
        </is>
      </c>
      <c r="F51" s="11" t="inlineStr">
        <is>
          <t>Groningen</t>
        </is>
      </c>
      <c r="G51" s="11" t="n">
        <v>17</v>
      </c>
      <c r="H51" s="53">
        <f>I50+G51/1440+30/1440</f>
        <v>0.597222222222222</v>
      </c>
      <c r="I51" s="53">
        <f>H51+20/1440</f>
        <v>0.611111111111111</v>
      </c>
      <c r="J51" s="11" t="inlineStr">
        <is>
          <t>Eigen lead</t>
        </is>
      </c>
      <c r="K51" s="54" t="inlineStr">
        <is>
          <t>Open adres</t>
        </is>
      </c>
    </row>
    <row r="52" ht="33.95" customHeight="1" s="41">
      <c r="A52" s="11" t="inlineStr">
        <is>
          <t>Yasmijn + Steven</t>
        </is>
      </c>
      <c r="B52" s="11" t="n">
        <v>6</v>
      </c>
      <c r="C52" s="11" t="inlineStr">
        <is>
          <t>Sunsplash</t>
        </is>
      </c>
      <c r="D52" s="11" t="inlineStr">
        <is>
          <t>Yasmijn</t>
        </is>
      </c>
      <c r="E52" s="11" t="inlineStr">
        <is>
          <t>Tondenpad 9 | 1107PL</t>
        </is>
      </c>
      <c r="F52" s="11" t="inlineStr">
        <is>
          <t>Amsterdam</t>
        </is>
      </c>
      <c r="G52" s="11" t="n">
        <v>124</v>
      </c>
      <c r="H52" s="53">
        <f>I51+G52/1440+0/1440</f>
        <v>0.697222222222222</v>
      </c>
      <c r="I52" s="53">
        <f>H52+20/1440</f>
        <v>0.711111111111111</v>
      </c>
      <c r="J52" s="11" t="inlineStr">
        <is>
          <t>Eigen lead</t>
        </is>
      </c>
      <c r="K52" s="54" t="inlineStr">
        <is>
          <t>Open adres</t>
        </is>
      </c>
    </row>
    <row r="53">
      <c r="A53" s="51" t="inlineStr">
        <is>
          <t>Yasmijn + Steven</t>
        </is>
      </c>
      <c r="B53" s="51" t="inlineStr">
        <is>
          <t>TERUG</t>
        </is>
      </c>
      <c r="C53" s="51" t="inlineStr">
        <is>
          <t>Amsterdam Centraal</t>
        </is>
      </c>
      <c r="D53" s="51" t="n"/>
      <c r="E53" s="51" t="inlineStr">
        <is>
          <t>Stationsplein</t>
        </is>
      </c>
      <c r="F53" s="51" t="inlineStr">
        <is>
          <t>Amsterdam</t>
        </is>
      </c>
      <c r="G53" s="51" t="n">
        <v>26</v>
      </c>
      <c r="H53" s="52">
        <f>I52+G53/1440+0/1440</f>
        <v>0.729166666666667</v>
      </c>
      <c r="I53" s="52">
        <f>H53</f>
        <v>0.729166666666667</v>
      </c>
      <c r="J53" s="56" t="str">
        <f>IF(H53&gt;TIME(17,30,0),"Inclusief lunch van 30 min | LET OP: na 17:30 terug, zie Aandachtspunten","Inclusief lunch van 30 min")</f>
        <v>Inclusief lunch van 30 min</v>
      </c>
      <c r="K53" s="51" t="n"/>
    </row>
    <row r="55">
      <c r="A55" s="51" t="inlineStr">
        <is>
          <t>Friso + Thierry + Cecil</t>
        </is>
      </c>
      <c r="B55" s="51" t="inlineStr">
        <is>
          <t>START</t>
        </is>
      </c>
      <c r="C55" s="51" t="inlineStr">
        <is>
          <t>Amsterdam Centraal</t>
        </is>
      </c>
      <c r="D55" s="51" t="n"/>
      <c r="E55" s="51" t="inlineStr">
        <is>
          <t>Stationsplein, Amsterdam</t>
        </is>
      </c>
      <c r="F55" s="51" t="inlineStr">
        <is>
          <t>Amsterdam</t>
        </is>
      </c>
      <c r="G55" s="51" t="n">
        <v>0</v>
      </c>
      <c r="H55" s="52" t="n">
        <v>0.3958333333333333</v>
      </c>
      <c r="I55" s="52" t="n">
        <v>0.3958333333333333</v>
      </c>
      <c r="J55" s="51" t="inlineStr">
        <is>
          <t>Per auto; rijtijden indicatief | Cecil rijdt mee</t>
        </is>
      </c>
      <c r="K55" s="51" t="n"/>
    </row>
    <row r="56" ht="33.95" customHeight="1" s="41">
      <c r="A56" s="11" t="inlineStr">
        <is>
          <t>Friso + Thierry + Cecil</t>
        </is>
      </c>
      <c r="B56" s="11" t="n">
        <v>1</v>
      </c>
      <c r="C56" s="11" t="inlineStr">
        <is>
          <t>Cinema Culinair</t>
        </is>
      </c>
      <c r="D56" s="11" t="inlineStr">
        <is>
          <t>Yasmijn</t>
        </is>
      </c>
      <c r="E56" s="11" t="inlineStr">
        <is>
          <t>Keilestraat 9F | 3029 BP</t>
        </is>
      </c>
      <c r="F56" s="11" t="inlineStr">
        <is>
          <t>Rotterdam</t>
        </is>
      </c>
      <c r="G56" s="11" t="n">
        <v>70</v>
      </c>
      <c r="H56" s="53">
        <f>I55+G56/1440+0/1440</f>
        <v>0.444444444444444</v>
      </c>
      <c r="I56" s="53">
        <f>H56+20/1440</f>
        <v>0.458333333333333</v>
      </c>
      <c r="J56" s="55" t="inlineStr">
        <is>
          <t>Overgenomen van Yasmijn</t>
        </is>
      </c>
      <c r="K56" s="54" t="inlineStr">
        <is>
          <t>Open adres</t>
        </is>
      </c>
    </row>
    <row r="57" ht="33.95" customHeight="1" s="41">
      <c r="A57" s="11" t="inlineStr">
        <is>
          <t>Friso + Thierry + Cecil</t>
        </is>
      </c>
      <c r="B57" s="11" t="n">
        <v>2</v>
      </c>
      <c r="C57" s="11" t="inlineStr">
        <is>
          <t>Give Soul</t>
        </is>
      </c>
      <c r="D57" s="11" t="inlineStr">
        <is>
          <t>Friso</t>
        </is>
      </c>
      <c r="E57" s="11" t="inlineStr">
        <is>
          <t>Eendrachtsweg 42 | 3012 LD</t>
        </is>
      </c>
      <c r="F57" s="11" t="inlineStr">
        <is>
          <t>Rotterdam</t>
        </is>
      </c>
      <c r="G57" s="11" t="n">
        <v>10</v>
      </c>
      <c r="H57" s="53">
        <f>I56+G57/1440+0/1440</f>
        <v>0.465277777777778</v>
      </c>
      <c r="I57" s="53">
        <f>H57+20/1440</f>
        <v>0.479166666666667</v>
      </c>
      <c r="J57" s="11" t="inlineStr">
        <is>
          <t>Eigen lead</t>
        </is>
      </c>
      <c r="K57" s="54" t="inlineStr">
        <is>
          <t>Open adres</t>
        </is>
      </c>
    </row>
    <row r="58" ht="33.95" customHeight="1" s="41">
      <c r="A58" s="11" t="inlineStr">
        <is>
          <t>Friso + Thierry + Cecil</t>
        </is>
      </c>
      <c r="B58" s="11" t="n">
        <v>3</v>
      </c>
      <c r="C58" s="11" t="inlineStr">
        <is>
          <t>CUBE</t>
        </is>
      </c>
      <c r="D58" s="11" t="inlineStr">
        <is>
          <t>Friso</t>
        </is>
      </c>
      <c r="E58" s="11" t="inlineStr">
        <is>
          <t>Slepersvest 1 | 3011 ML</t>
        </is>
      </c>
      <c r="F58" s="11" t="inlineStr">
        <is>
          <t>Rotterdam</t>
        </is>
      </c>
      <c r="G58" s="11" t="n">
        <v>7</v>
      </c>
      <c r="H58" s="53">
        <f>I57+G58/1440+0/1440</f>
        <v>0.484027777777778</v>
      </c>
      <c r="I58" s="53">
        <f>H58+20/1440</f>
        <v>0.497916666666667</v>
      </c>
      <c r="J58" s="11" t="inlineStr">
        <is>
          <t>Eigen lead</t>
        </is>
      </c>
      <c r="K58" s="54" t="inlineStr">
        <is>
          <t>Open adres</t>
        </is>
      </c>
    </row>
    <row r="59" ht="33.95" customHeight="1" s="41">
      <c r="A59" s="11" t="inlineStr">
        <is>
          <t>Friso + Thierry + Cecil</t>
        </is>
      </c>
      <c r="B59" s="11" t="n">
        <v>4</v>
      </c>
      <c r="C59" s="11" t="inlineStr">
        <is>
          <t>Ahoy Rotterdam</t>
        </is>
      </c>
      <c r="D59" s="11" t="inlineStr">
        <is>
          <t>Friso</t>
        </is>
      </c>
      <c r="E59" s="11" t="inlineStr">
        <is>
          <t>Ahoyweg 10 | 3084 BD</t>
        </is>
      </c>
      <c r="F59" s="11" t="inlineStr">
        <is>
          <t>Rotterdam</t>
        </is>
      </c>
      <c r="G59" s="11" t="n">
        <v>12</v>
      </c>
      <c r="H59" s="53">
        <f>I58+G59/1440+0/1440</f>
        <v>0.50625</v>
      </c>
      <c r="I59" s="53">
        <f>H59+20/1440</f>
        <v>0.520138888888889</v>
      </c>
      <c r="J59" s="11" t="inlineStr">
        <is>
          <t>Eigen lead</t>
        </is>
      </c>
      <c r="K59" s="54" t="inlineStr">
        <is>
          <t>Open adres</t>
        </is>
      </c>
    </row>
    <row r="60" ht="33.95" customHeight="1" s="41">
      <c r="A60" s="11" t="inlineStr">
        <is>
          <t>Friso + Thierry + Cecil</t>
        </is>
      </c>
      <c r="B60" s="11" t="n">
        <v>5</v>
      </c>
      <c r="C60" s="11" t="inlineStr">
        <is>
          <t>The Zoo</t>
        </is>
      </c>
      <c r="D60" s="11" t="inlineStr">
        <is>
          <t>Thierry</t>
        </is>
      </c>
      <c r="E60" s="11" t="inlineStr">
        <is>
          <t>Boonsweg 10 | 274 LH</t>
        </is>
      </c>
      <c r="F60" s="11" t="inlineStr">
        <is>
          <t>Heinenoord</t>
        </is>
      </c>
      <c r="G60" s="11" t="n">
        <v>18</v>
      </c>
      <c r="H60" s="53">
        <f>I59+G60/1440+30/1440</f>
        <v>0.553472222222222</v>
      </c>
      <c r="I60" s="53">
        <f>H60+20/1440</f>
        <v>0.567361111111111</v>
      </c>
      <c r="J60" s="11" t="inlineStr">
        <is>
          <t>Eigen lead</t>
        </is>
      </c>
      <c r="K60" s="54" t="inlineStr">
        <is>
          <t>Open adres</t>
        </is>
      </c>
    </row>
    <row r="61" ht="33.95" customHeight="1" s="41">
      <c r="A61" s="11" t="inlineStr">
        <is>
          <t>Friso + Thierry + Cecil</t>
        </is>
      </c>
      <c r="B61" s="11" t="n">
        <v>6</v>
      </c>
      <c r="C61" s="11" t="inlineStr">
        <is>
          <t>Vivre Productions</t>
        </is>
      </c>
      <c r="D61" s="11" t="inlineStr">
        <is>
          <t>Friso</t>
        </is>
      </c>
      <c r="E61" s="11" t="inlineStr">
        <is>
          <t>Hoofdweg-Noord 9K | 2913 LB</t>
        </is>
      </c>
      <c r="F61" s="11" t="inlineStr">
        <is>
          <t>Nieuwekerk ad IJssel</t>
        </is>
      </c>
      <c r="G61" s="11" t="n">
        <v>27</v>
      </c>
      <c r="H61" s="53">
        <f>I60+G61/1440+0/1440</f>
        <v>0.586111111111111</v>
      </c>
      <c r="I61" s="53">
        <f>H61+20/1440</f>
        <v>0.6</v>
      </c>
      <c r="J61" s="11" t="inlineStr">
        <is>
          <t>Eigen lead</t>
        </is>
      </c>
      <c r="K61" s="54" t="inlineStr">
        <is>
          <t>Open adres</t>
        </is>
      </c>
    </row>
    <row r="62" ht="33.95" customHeight="1" s="41">
      <c r="A62" s="11" t="inlineStr">
        <is>
          <t>Friso + Thierry + Cecil</t>
        </is>
      </c>
      <c r="B62" s="11" t="n">
        <v>7</v>
      </c>
      <c r="C62" s="11" t="inlineStr">
        <is>
          <t>White House Scheveningen</t>
        </is>
      </c>
      <c r="D62" s="11" t="inlineStr">
        <is>
          <t>Thierry</t>
        </is>
      </c>
      <c r="E62" s="11" t="inlineStr">
        <is>
          <t>Strandweg 180 | 2586 JM</t>
        </is>
      </c>
      <c r="F62" s="11" t="inlineStr">
        <is>
          <t>Den Haag</t>
        </is>
      </c>
      <c r="G62" s="11" t="n">
        <v>49</v>
      </c>
      <c r="H62" s="53">
        <f>I61+G62/1440+0/1440</f>
        <v>0.634027777777778</v>
      </c>
      <c r="I62" s="53">
        <f>H62+20/1440</f>
        <v>0.647916666666667</v>
      </c>
      <c r="J62" s="11" t="inlineStr">
        <is>
          <t>Eigen lead</t>
        </is>
      </c>
      <c r="K62" s="54" t="inlineStr">
        <is>
          <t>Open adres</t>
        </is>
      </c>
    </row>
    <row r="63">
      <c r="A63" s="51" t="inlineStr">
        <is>
          <t>Friso + Thierry + Cecil</t>
        </is>
      </c>
      <c r="B63" s="51" t="inlineStr">
        <is>
          <t>TERUG</t>
        </is>
      </c>
      <c r="C63" s="51" t="inlineStr">
        <is>
          <t>Amsterdam Centraal</t>
        </is>
      </c>
      <c r="D63" s="51" t="n"/>
      <c r="E63" s="51" t="inlineStr">
        <is>
          <t>Stationsplein</t>
        </is>
      </c>
      <c r="F63" s="51" t="inlineStr">
        <is>
          <t>Amsterdam</t>
        </is>
      </c>
      <c r="G63" s="51" t="n">
        <v>93</v>
      </c>
      <c r="H63" s="52">
        <f>I62+G63/1440+0/1440</f>
        <v>0.7125</v>
      </c>
      <c r="I63" s="52">
        <f>H63</f>
        <v>0.7125</v>
      </c>
      <c r="J63" s="56" t="str">
        <f>IF(H63&gt;TIME(17,30,0),"Inclusief lunch van 30 min | LET OP: na 17:30 terug, zie Aandachtspunten","Inclusief lunch van 30 min")</f>
        <v>Inclusief lunch van 30 min</v>
      </c>
      <c r="K63" s="51" t="n"/>
    </row>
    <row r="66" ht="15.95" customHeight="1" s="41">
      <c r="A66" s="50" t="inlineStr">
        <is>
          <t>DAG 3  |  DONDERDAG 15 OKTOBER  |  VERTREK 09:30  |  20 MINUTEN PER LEAD + 30 MIN LUNCH</t>
        </is>
      </c>
      <c r="B66" s="50" t="n"/>
      <c r="C66" s="50" t="n"/>
      <c r="D66" s="50" t="n"/>
      <c r="E66" s="50" t="n"/>
      <c r="F66" s="50" t="n"/>
      <c r="G66" s="50" t="n"/>
      <c r="H66" s="50" t="n"/>
      <c r="I66" s="50" t="n"/>
      <c r="J66" s="50" t="n"/>
      <c r="K66" s="50" t="n"/>
    </row>
    <row r="67">
      <c r="A67" s="47" t="inlineStr">
        <is>
          <t>Team</t>
        </is>
      </c>
      <c r="B67" s="47" t="inlineStr">
        <is>
          <t>Stop</t>
        </is>
      </c>
      <c r="C67" s="47" t="inlineStr">
        <is>
          <t>Lead</t>
        </is>
      </c>
      <c r="D67" s="47" t="inlineStr">
        <is>
          <t>Leadowner</t>
        </is>
      </c>
      <c r="E67" s="47" t="inlineStr">
        <is>
          <t>Adres</t>
        </is>
      </c>
      <c r="F67" s="47" t="inlineStr">
        <is>
          <t>Plaats</t>
        </is>
      </c>
      <c r="G67" s="47" t="inlineStr">
        <is>
          <t>Rijtijd vanaf vorig (min)</t>
        </is>
      </c>
      <c r="H67" s="47" t="inlineStr">
        <is>
          <t>Aankomst</t>
        </is>
      </c>
      <c r="I67" s="47" t="inlineStr">
        <is>
          <t>Vertrek</t>
        </is>
      </c>
      <c r="J67" s="47" t="inlineStr">
        <is>
          <t>Opmerking</t>
        </is>
      </c>
      <c r="K67" s="47" t="inlineStr">
        <is>
          <t>Google Maps</t>
        </is>
      </c>
    </row>
    <row r="68">
      <c r="A68" s="51" t="inlineStr">
        <is>
          <t>Yasmijn + Steven</t>
        </is>
      </c>
      <c r="B68" s="51" t="inlineStr">
        <is>
          <t>START</t>
        </is>
      </c>
      <c r="C68" s="51" t="inlineStr">
        <is>
          <t>Amsterdam Centraal</t>
        </is>
      </c>
      <c r="D68" s="51" t="n"/>
      <c r="E68" s="51" t="inlineStr">
        <is>
          <t>Stationsplein, Amsterdam</t>
        </is>
      </c>
      <c r="F68" s="51" t="inlineStr">
        <is>
          <t>Amsterdam</t>
        </is>
      </c>
      <c r="G68" s="51" t="n">
        <v>0</v>
      </c>
      <c r="H68" s="52" t="n">
        <v>0.3958333333333333</v>
      </c>
      <c r="I68" s="52" t="n">
        <v>0.3958333333333333</v>
      </c>
      <c r="J68" s="51" t="inlineStr">
        <is>
          <t>Per auto; rijtijden indicatief</t>
        </is>
      </c>
      <c r="K68" s="51" t="n"/>
    </row>
    <row r="69" ht="33.95" customHeight="1" s="41">
      <c r="A69" s="11" t="inlineStr">
        <is>
          <t>Yasmijn + Steven</t>
        </is>
      </c>
      <c r="B69" s="11" t="n">
        <v>1</v>
      </c>
      <c r="C69" s="11" t="inlineStr">
        <is>
          <t>Muze Misse</t>
        </is>
      </c>
      <c r="D69" s="11" t="inlineStr">
        <is>
          <t>Yasmijn</t>
        </is>
      </c>
      <c r="E69" s="11" t="inlineStr">
        <is>
          <t>Sint Sebastiaanstraat 57 | 5341 LG</t>
        </is>
      </c>
      <c r="F69" s="11" t="inlineStr">
        <is>
          <t>Oss</t>
        </is>
      </c>
      <c r="G69" s="11" t="n">
        <v>75</v>
      </c>
      <c r="H69" s="53">
        <f>I68+G69/1440+0/1440</f>
        <v>0.447916666666667</v>
      </c>
      <c r="I69" s="53">
        <f>H69+20/1440</f>
        <v>0.461805555555556</v>
      </c>
      <c r="J69" s="11" t="inlineStr">
        <is>
          <t>Eigen lead</t>
        </is>
      </c>
      <c r="K69" s="54" t="inlineStr">
        <is>
          <t>Open adres</t>
        </is>
      </c>
    </row>
    <row r="70" ht="33.95" customHeight="1" s="41">
      <c r="A70" s="11" t="inlineStr">
        <is>
          <t>Yasmijn + Steven</t>
        </is>
      </c>
      <c r="B70" s="11" t="n">
        <v>2</v>
      </c>
      <c r="C70" s="11" t="inlineStr">
        <is>
          <t>Par-t</t>
        </is>
      </c>
      <c r="D70" s="11" t="inlineStr">
        <is>
          <t>Yasmijn</t>
        </is>
      </c>
      <c r="E70" s="11" t="inlineStr">
        <is>
          <t>Bussele 17 | 5469 DT</t>
        </is>
      </c>
      <c r="F70" s="11" t="inlineStr">
        <is>
          <t>Erp/Veghel</t>
        </is>
      </c>
      <c r="G70" s="11" t="n">
        <v>25</v>
      </c>
      <c r="H70" s="53">
        <f>I69+G70/1440+0/1440</f>
        <v>0.479166666666667</v>
      </c>
      <c r="I70" s="53">
        <f>H70+20/1440</f>
        <v>0.493055555555556</v>
      </c>
      <c r="J70" s="11" t="inlineStr">
        <is>
          <t>Eigen lead</t>
        </is>
      </c>
      <c r="K70" s="54" t="inlineStr">
        <is>
          <t>Open adres</t>
        </is>
      </c>
    </row>
    <row r="71" ht="33.95" customHeight="1" s="41">
      <c r="A71" s="11" t="inlineStr">
        <is>
          <t>Yasmijn + Steven</t>
        </is>
      </c>
      <c r="B71" s="11" t="n">
        <v>3</v>
      </c>
      <c r="C71" s="11" t="inlineStr">
        <is>
          <t>Minority Events</t>
        </is>
      </c>
      <c r="D71" s="11" t="inlineStr">
        <is>
          <t>Yasmijn</t>
        </is>
      </c>
      <c r="E71" s="11" t="inlineStr">
        <is>
          <t>Dragonder 49J | 5555 XZ</t>
        </is>
      </c>
      <c r="F71" s="11" t="inlineStr">
        <is>
          <t>Valkenswaard</t>
        </is>
      </c>
      <c r="G71" s="11" t="n">
        <v>40</v>
      </c>
      <c r="H71" s="53">
        <f>I70+G71/1440+0/1440</f>
        <v>0.520833333333333</v>
      </c>
      <c r="I71" s="53">
        <f>H71+20/1440</f>
        <v>0.534722222222222</v>
      </c>
      <c r="J71" s="11" t="inlineStr">
        <is>
          <t>Eigen lead</t>
        </is>
      </c>
      <c r="K71" s="54" t="inlineStr">
        <is>
          <t>Open adres</t>
        </is>
      </c>
    </row>
    <row r="72" ht="33.95" customHeight="1" s="41">
      <c r="A72" s="11" t="inlineStr">
        <is>
          <t>Yasmijn + Steven</t>
        </is>
      </c>
      <c r="B72" s="11" t="n">
        <v>4</v>
      </c>
      <c r="C72" s="11" t="inlineStr">
        <is>
          <t>Volt</t>
        </is>
      </c>
      <c r="D72" s="11" t="inlineStr">
        <is>
          <t>Thierry</t>
        </is>
      </c>
      <c r="E72" s="11" t="inlineStr">
        <is>
          <t>Odasingel 88 | 6131 GZ</t>
        </is>
      </c>
      <c r="F72" s="11" t="inlineStr">
        <is>
          <t>Sittard</t>
        </is>
      </c>
      <c r="G72" s="11" t="n">
        <v>67</v>
      </c>
      <c r="H72" s="53">
        <f>I71+G72/1440+0/1440</f>
        <v>0.58125</v>
      </c>
      <c r="I72" s="53">
        <f>H72+20/1440</f>
        <v>0.595138888888889</v>
      </c>
      <c r="J72" s="55" t="inlineStr">
        <is>
          <t>Overgenomen van Thierry</t>
        </is>
      </c>
      <c r="K72" s="54" t="inlineStr">
        <is>
          <t>Open adres</t>
        </is>
      </c>
    </row>
    <row r="73">
      <c r="A73" s="51" t="inlineStr">
        <is>
          <t>Yasmijn + Steven</t>
        </is>
      </c>
      <c r="B73" s="51" t="inlineStr">
        <is>
          <t>TERUG</t>
        </is>
      </c>
      <c r="C73" s="51" t="inlineStr">
        <is>
          <t>Amsterdam Centraal</t>
        </is>
      </c>
      <c r="D73" s="51" t="n"/>
      <c r="E73" s="51" t="inlineStr">
        <is>
          <t>Stationsplein</t>
        </is>
      </c>
      <c r="F73" s="51" t="inlineStr">
        <is>
          <t>Amsterdam</t>
        </is>
      </c>
      <c r="G73" s="51" t="n">
        <v>132</v>
      </c>
      <c r="H73" s="52">
        <f>I72+G73/1440+30/1440</f>
        <v>0.707638888888889</v>
      </c>
      <c r="I73" s="52">
        <f>H73</f>
        <v>0.707638888888889</v>
      </c>
      <c r="J73" s="56" t="str">
        <f>IF(H73&gt;TIME(17,30,0),"Inclusief lunch van 30 min | LET OP: na 17:30 terug, zie Aandachtspunten","Inclusief lunch van 30 min")</f>
        <v>Inclusief lunch van 30 min</v>
      </c>
      <c r="K73" s="51" t="n"/>
    </row>
    <row r="75">
      <c r="A75" s="51" t="inlineStr">
        <is>
          <t>Friso + Thierry</t>
        </is>
      </c>
      <c r="B75" s="51" t="inlineStr">
        <is>
          <t>START</t>
        </is>
      </c>
      <c r="C75" s="51" t="inlineStr">
        <is>
          <t>Amsterdam Centraal</t>
        </is>
      </c>
      <c r="D75" s="51" t="n"/>
      <c r="E75" s="51" t="inlineStr">
        <is>
          <t>Stationsplein, Amsterdam</t>
        </is>
      </c>
      <c r="F75" s="51" t="inlineStr">
        <is>
          <t>Amsterdam</t>
        </is>
      </c>
      <c r="G75" s="51" t="n">
        <v>0</v>
      </c>
      <c r="H75" s="52" t="n">
        <v>0.3958333333333333</v>
      </c>
      <c r="I75" s="52" t="n">
        <v>0.3958333333333333</v>
      </c>
      <c r="J75" s="51" t="inlineStr">
        <is>
          <t>Per auto; rijtijden indicatief</t>
        </is>
      </c>
      <c r="K75" s="51" t="n"/>
    </row>
    <row r="76" ht="33.95" customHeight="1" s="41">
      <c r="A76" s="11" t="inlineStr">
        <is>
          <t>Friso + Thierry</t>
        </is>
      </c>
      <c r="B76" s="11" t="n">
        <v>1</v>
      </c>
      <c r="C76" s="11" t="inlineStr">
        <is>
          <t>8Ball</t>
        </is>
      </c>
      <c r="D76" s="11" t="inlineStr">
        <is>
          <t>Friso</t>
        </is>
      </c>
      <c r="E76" s="11" t="inlineStr">
        <is>
          <t>’s Gravelandseweg 80 | 1217EW</t>
        </is>
      </c>
      <c r="F76" s="11" t="inlineStr">
        <is>
          <t>Hilversum</t>
        </is>
      </c>
      <c r="G76" s="11" t="n">
        <v>38</v>
      </c>
      <c r="H76" s="53">
        <f>I75+G76/1440+0/1440</f>
        <v>0.422222222222222</v>
      </c>
      <c r="I76" s="53">
        <f>H76+20/1440</f>
        <v>0.436111111111111</v>
      </c>
      <c r="J76" s="11" t="inlineStr">
        <is>
          <t>Eigen lead</t>
        </is>
      </c>
      <c r="K76" s="54" t="inlineStr">
        <is>
          <t>Open adres</t>
        </is>
      </c>
    </row>
    <row r="77" ht="33.95" customHeight="1" s="41">
      <c r="A77" s="11" t="inlineStr">
        <is>
          <t>Friso + Thierry</t>
        </is>
      </c>
      <c r="B77" s="11" t="n">
        <v>2</v>
      </c>
      <c r="C77" s="11" t="inlineStr">
        <is>
          <t>Verknipt</t>
        </is>
      </c>
      <c r="D77" s="11" t="inlineStr">
        <is>
          <t>Friso</t>
        </is>
      </c>
      <c r="E77" s="11" t="inlineStr">
        <is>
          <t>Gein Zuid 9 | 1391 GT</t>
        </is>
      </c>
      <c r="F77" s="11" t="inlineStr">
        <is>
          <t>Abcoude</t>
        </is>
      </c>
      <c r="G77" s="11" t="n">
        <v>31</v>
      </c>
      <c r="H77" s="53">
        <f>I76+G77/1440+0/1440</f>
        <v>0.457638888888889</v>
      </c>
      <c r="I77" s="53">
        <f>H77+20/1440</f>
        <v>0.471527777777778</v>
      </c>
      <c r="J77" s="11" t="inlineStr">
        <is>
          <t>Eigen lead</t>
        </is>
      </c>
      <c r="K77" s="54" t="inlineStr">
        <is>
          <t>Open adres</t>
        </is>
      </c>
    </row>
    <row r="78" ht="33.95" customHeight="1" s="41">
      <c r="A78" s="11" t="inlineStr">
        <is>
          <t>Friso + Thierry</t>
        </is>
      </c>
      <c r="B78" s="11" t="n">
        <v>3</v>
      </c>
      <c r="C78" s="11" t="inlineStr">
        <is>
          <t>3X3 Basketbal</t>
        </is>
      </c>
      <c r="D78" s="11" t="inlineStr">
        <is>
          <t>Friso</t>
        </is>
      </c>
      <c r="E78" s="11" t="inlineStr">
        <is>
          <t>Keienbergweg 93 | 1101 GE</t>
        </is>
      </c>
      <c r="F78" s="11" t="inlineStr">
        <is>
          <t>Amsterdam</t>
        </is>
      </c>
      <c r="G78" s="11" t="n">
        <v>17</v>
      </c>
      <c r="H78" s="53">
        <f>I77+G78/1440+0/1440</f>
        <v>0.483333333333333</v>
      </c>
      <c r="I78" s="53">
        <f>H78+20/1440</f>
        <v>0.497222222222222</v>
      </c>
      <c r="J78" s="11" t="inlineStr">
        <is>
          <t>Eigen lead</t>
        </is>
      </c>
      <c r="K78" s="54" t="inlineStr">
        <is>
          <t>Open adres</t>
        </is>
      </c>
    </row>
    <row r="79" ht="33.95" customHeight="1" s="41">
      <c r="A79" s="11" t="inlineStr">
        <is>
          <t>Friso + Thierry</t>
        </is>
      </c>
      <c r="B79" s="11" t="n">
        <v>4</v>
      </c>
      <c r="C79" s="11" t="inlineStr">
        <is>
          <t>Loveland</t>
        </is>
      </c>
      <c r="D79" s="11" t="inlineStr">
        <is>
          <t>Friso</t>
        </is>
      </c>
      <c r="E79" s="11" t="inlineStr">
        <is>
          <t>Helicopterstraat 25L | 1059 CE</t>
        </is>
      </c>
      <c r="F79" s="11" t="inlineStr">
        <is>
          <t>Amsterdam</t>
        </is>
      </c>
      <c r="G79" s="11" t="n">
        <v>22</v>
      </c>
      <c r="H79" s="53">
        <f>I78+G79/1440+0/1440</f>
        <v>0.5125</v>
      </c>
      <c r="I79" s="53">
        <f>H79+20/1440</f>
        <v>0.526388888888889</v>
      </c>
      <c r="J79" s="11" t="inlineStr">
        <is>
          <t>Eigen lead</t>
        </is>
      </c>
      <c r="K79" s="54" t="inlineStr">
        <is>
          <t>Open adres</t>
        </is>
      </c>
    </row>
    <row r="80" ht="33.95" customHeight="1" s="41">
      <c r="A80" s="11" t="inlineStr">
        <is>
          <t>Friso + Thierry</t>
        </is>
      </c>
      <c r="B80" s="11" t="n">
        <v>5</v>
      </c>
      <c r="C80" s="11" t="inlineStr">
        <is>
          <t>Vault Sessions</t>
        </is>
      </c>
      <c r="D80" s="11" t="inlineStr">
        <is>
          <t>Friso</t>
        </is>
      </c>
      <c r="E80" s="11" t="inlineStr">
        <is>
          <t>Weerenweg 13 unit A | 1161 AE</t>
        </is>
      </c>
      <c r="F80" s="11" t="inlineStr">
        <is>
          <t>Zwanenburg</t>
        </is>
      </c>
      <c r="G80" s="11" t="n">
        <v>23</v>
      </c>
      <c r="H80" s="53">
        <f>I79+G80/1440+30/1440</f>
        <v>0.563194444444444</v>
      </c>
      <c r="I80" s="53">
        <f>H80+20/1440</f>
        <v>0.577083333333333</v>
      </c>
      <c r="J80" s="11" t="inlineStr">
        <is>
          <t>Eigen lead</t>
        </is>
      </c>
      <c r="K80" s="54" t="inlineStr">
        <is>
          <t>Open adres</t>
        </is>
      </c>
    </row>
    <row r="81" ht="33.95" customHeight="1" s="41">
      <c r="A81" s="11" t="inlineStr">
        <is>
          <t>Friso + Thierry</t>
        </is>
      </c>
      <c r="B81" s="11" t="n">
        <v>6</v>
      </c>
      <c r="C81" s="11" t="inlineStr">
        <is>
          <t>Tropikali</t>
        </is>
      </c>
      <c r="D81" s="11" t="inlineStr">
        <is>
          <t>Friso</t>
        </is>
      </c>
      <c r="E81" s="11" t="inlineStr">
        <is>
          <t>Prinsengracht 754-3 | 1017 LD</t>
        </is>
      </c>
      <c r="F81" s="11" t="inlineStr">
        <is>
          <t>Amsterdam</t>
        </is>
      </c>
      <c r="G81" s="11" t="n">
        <v>27</v>
      </c>
      <c r="H81" s="53">
        <f>I80+G81/1440+0/1440</f>
        <v>0.595833333333333</v>
      </c>
      <c r="I81" s="53">
        <f>H81+20/1440</f>
        <v>0.609722222222222</v>
      </c>
      <c r="J81" s="11" t="inlineStr">
        <is>
          <t>Eigen lead</t>
        </is>
      </c>
      <c r="K81" s="54" t="inlineStr">
        <is>
          <t>Open adres</t>
        </is>
      </c>
    </row>
    <row r="82">
      <c r="A82" s="51" t="inlineStr">
        <is>
          <t>Friso + Thierry</t>
        </is>
      </c>
      <c r="B82" s="51" t="inlineStr">
        <is>
          <t>TERUG</t>
        </is>
      </c>
      <c r="C82" s="51" t="inlineStr">
        <is>
          <t>Amsterdam Centraal</t>
        </is>
      </c>
      <c r="D82" s="51" t="n"/>
      <c r="E82" s="51" t="inlineStr">
        <is>
          <t>Stationsplein</t>
        </is>
      </c>
      <c r="F82" s="51" t="inlineStr">
        <is>
          <t>Amsterdam</t>
        </is>
      </c>
      <c r="G82" s="51" t="n">
        <v>14</v>
      </c>
      <c r="H82" s="52">
        <f>I81+G82/1440+0/1440</f>
        <v>0.619444444444445</v>
      </c>
      <c r="I82" s="52">
        <f>H82</f>
        <v>0.619444444444445</v>
      </c>
      <c r="J82" s="56" t="str">
        <f>IF(H82&gt;TIME(17,30,0),"Inclusief lunch van 30 min | LET OP: na 17:30 terug, zie Aandachtspunten","Inclusief lunch van 30 min")</f>
        <v>Inclusief lunch van 30 min</v>
      </c>
      <c r="K82" s="51" t="n"/>
    </row>
    <row r="85">
      <c r="A85" s="50" t="inlineStr">
        <is>
          <t>VERSCHOVEN NAAR YASMIJN + STEVEN | gemarkeerd in de Leadlijst</t>
        </is>
      </c>
      <c r="B85" s="50" t="n"/>
      <c r="C85" s="50" t="n"/>
      <c r="D85" s="50" t="n"/>
      <c r="E85" s="50" t="n"/>
      <c r="F85" s="50" t="n"/>
      <c r="G85" s="50" t="n"/>
      <c r="H85" s="50" t="n"/>
      <c r="I85" s="50" t="n"/>
      <c r="J85" s="50" t="n"/>
      <c r="K85" s="50" t="n"/>
    </row>
    <row r="86">
      <c r="A86" s="47" t="inlineStr">
        <is>
          <t>Nieuw team</t>
        </is>
      </c>
      <c r="B86" s="47" t="inlineStr">
        <is>
          <t>Dag</t>
        </is>
      </c>
      <c r="C86" s="47" t="inlineStr">
        <is>
          <t>Lead</t>
        </is>
      </c>
      <c r="D86" s="47" t="inlineStr">
        <is>
          <t>Leadowner</t>
        </is>
      </c>
      <c r="E86" s="47" t="inlineStr">
        <is>
          <t>Status</t>
        </is>
      </c>
      <c r="F86" s="47" t="inlineStr">
        <is>
          <t>Plaats</t>
        </is>
      </c>
      <c r="G86" s="47" t="n"/>
      <c r="H86" s="47" t="inlineStr">
        <is>
          <t>Aankomst</t>
        </is>
      </c>
      <c r="I86" s="47" t="n"/>
      <c r="J86" s="47" t="inlineStr">
        <is>
          <t>Toelichting</t>
        </is>
      </c>
    </row>
    <row r="87">
      <c r="A87" s="11" t="inlineStr">
        <is>
          <t>Yasmijn + Steven</t>
        </is>
      </c>
      <c r="B87" s="11" t="str">
        <f>IFERROR(CHOOSE(COUNTIF($A$1:INDEX($A$1:$A$84,MATCH(C87,$C$1:$C$84,0)),"DAG *"),"Dinsdag","Woensdag","Donderdag"),"Niet ingepland")</f>
        <v>Woensdag</v>
      </c>
      <c r="C87" s="61" t="inlineStr">
        <is>
          <t>Gashouder</t>
        </is>
      </c>
      <c r="D87" s="11" t="inlineStr">
        <is>
          <t>Yasmijn</t>
        </is>
      </c>
      <c r="E87" s="11" t="str">
        <f>IF(ISNUMBER(MATCH(C87,$C$1:$C$84,0)),"Ingepland","Niet ingepland | Yasmijn plant zelf in")</f>
        <v>Ingepland</v>
      </c>
      <c r="F87" s="11" t="inlineStr">
        <is>
          <t>Amsterdam</t>
        </is>
      </c>
      <c r="G87" s="11" t="n"/>
      <c r="H87" s="53">
        <f>IFERROR(INDEX($H$1:$H$84,MATCH(C87,$C$1:$C$84,0)),"")</f>
        <v>0.405555555555556</v>
      </c>
      <c r="I87" s="11" t="n"/>
      <c r="J87" s="11" t="inlineStr">
        <is>
          <t>Eigen lead van Yasmijn</t>
        </is>
      </c>
    </row>
    <row r="88">
      <c r="A88" s="11" t="inlineStr">
        <is>
          <t>Yasmijn + Steven</t>
        </is>
      </c>
      <c r="B88" s="11" t="str">
        <f>IFERROR(CHOOSE(COUNTIF($A$1:INDEX($A$1:$A$84,MATCH(C88,$C$1:$C$84,0)),"DAG *"),"Dinsdag","Woensdag","Donderdag"),"Niet ingepland")</f>
        <v>Woensdag</v>
      </c>
      <c r="C88" s="61" t="inlineStr">
        <is>
          <t>Dfrnt Festival (Tapt)</t>
        </is>
      </c>
      <c r="D88" s="11" t="inlineStr">
        <is>
          <t>Yasmijn</t>
        </is>
      </c>
      <c r="E88" s="11" t="str">
        <f>IF(ISNUMBER(MATCH(C88,$C$1:$C$84,0)),"Ingepland","Niet ingepland | Yasmijn plant zelf in")</f>
        <v>Ingepland</v>
      </c>
      <c r="F88" s="11" t="inlineStr">
        <is>
          <t>Amsterdam</t>
        </is>
      </c>
      <c r="G88" s="11" t="n"/>
      <c r="H88" s="53">
        <f>IFERROR(INDEX($H$1:$H$84,MATCH(C88,$C$1:$C$84,0)),"")</f>
        <v>0.428472222222222</v>
      </c>
      <c r="I88" s="11" t="n"/>
      <c r="J88" s="11" t="inlineStr">
        <is>
          <t>Eigen lead van Yasmijn</t>
        </is>
      </c>
    </row>
    <row r="89">
      <c r="A89" s="11" t="inlineStr">
        <is>
          <t>Yasmijn + Steven</t>
        </is>
      </c>
      <c r="B89" s="11" t="str">
        <f>IFERROR(CHOOSE(COUNTIF($A$1:INDEX($A$1:$A$84,MATCH(C89,$C$1:$C$84,0)),"DAG *"),"Dinsdag","Woensdag","Donderdag"),"Niet ingepland")</f>
        <v>Woensdag</v>
      </c>
      <c r="C89" s="61" t="inlineStr">
        <is>
          <t>Lofi</t>
        </is>
      </c>
      <c r="D89" s="11" t="inlineStr">
        <is>
          <t>Yasmijn</t>
        </is>
      </c>
      <c r="E89" s="11" t="str">
        <f>IF(ISNUMBER(MATCH(C89,$C$1:$C$84,0)),"Ingepland","Niet ingepland | Yasmijn plant zelf in")</f>
        <v>Ingepland</v>
      </c>
      <c r="F89" s="11" t="inlineStr">
        <is>
          <t>Amsterdam</t>
        </is>
      </c>
      <c r="G89" s="11" t="n"/>
      <c r="H89" s="53">
        <f>IFERROR(INDEX($H$1:$H$84,MATCH(C89,$C$1:$C$84,0)),"")</f>
        <v>0.449305555555556</v>
      </c>
      <c r="I89" s="11" t="n"/>
      <c r="J89" s="11" t="inlineStr">
        <is>
          <t>Eigen lead van Yasmijn</t>
        </is>
      </c>
    </row>
    <row r="90">
      <c r="A90" s="11" t="inlineStr">
        <is>
          <t>Yasmijn + Steven</t>
        </is>
      </c>
      <c r="B90" s="11" t="str">
        <f>IFERROR(CHOOSE(COUNTIF($A$1:INDEX($A$1:$A$84,MATCH(C90,$C$1:$C$84,0)),"DAG *"),"Dinsdag","Woensdag","Donderdag"),"Niet ingepland")</f>
        <v>Niet ingepland</v>
      </c>
      <c r="C90" s="61" t="inlineStr">
        <is>
          <t>Audio Obscura</t>
        </is>
      </c>
      <c r="D90" s="11" t="inlineStr">
        <is>
          <t>Friso</t>
        </is>
      </c>
      <c r="E90" s="63" t="str">
        <f>IF(ISNUMBER(MATCH(C90,$C$1:$C$84,0)),"Ingepland","Niet ingepland | Yasmijn plant zelf in")</f>
        <v>Niet ingepland | Yasmijn plant zelf in</v>
      </c>
      <c r="F90" s="11" t="inlineStr">
        <is>
          <t>Amsterdam</t>
        </is>
      </c>
      <c r="G90" s="11" t="n"/>
      <c r="H90" s="53" t="str">
        <f>IFERROR(INDEX($H$1:$H$84,MATCH(C90,$C$1:$C$84,0)),"")</f>
        <v/>
      </c>
      <c r="I90" s="11" t="n"/>
      <c r="J90" s="11" t="inlineStr">
        <is>
          <t>Past evt. bij Friso + Thierry op donderdag (terug dan ca. 15:15)</t>
        </is>
      </c>
    </row>
    <row r="91">
      <c r="A91" s="11" t="inlineStr">
        <is>
          <t>Yasmijn + Steven</t>
        </is>
      </c>
      <c r="B91" s="11" t="str">
        <f>IFERROR(CHOOSE(COUNTIF($A$1:INDEX($A$1:$A$84,MATCH(C91,$C$1:$C$84,0)),"DAG *"),"Dinsdag","Woensdag","Donderdag"),"Niet ingepland")</f>
        <v>Niet ingepland</v>
      </c>
      <c r="C91" s="61" t="inlineStr">
        <is>
          <t>Paard</t>
        </is>
      </c>
      <c r="D91" s="11" t="inlineStr">
        <is>
          <t>Yasmijn</t>
        </is>
      </c>
      <c r="E91" s="63" t="str">
        <f>IF(ISNUMBER(MATCH(C91,$C$1:$C$84,0)),"Ingepland","Niet ingepland | Yasmijn plant zelf in")</f>
        <v>Niet ingepland | Yasmijn plant zelf in</v>
      </c>
      <c r="F91" s="11" t="inlineStr">
        <is>
          <t>Den Haag</t>
        </is>
      </c>
      <c r="G91" s="11" t="n"/>
      <c r="H91" s="53" t="str">
        <f>IFERROR(INDEX($H$1:$H$84,MATCH(C91,$C$1:$C$84,0)),"")</f>
        <v/>
      </c>
      <c r="I91" s="11" t="n"/>
      <c r="J91" s="11" t="inlineStr">
        <is>
          <t>Past niet goed: op de Rotterdam-dag van Friso + Thierry (woensdag) wordt het terug ca. 17:40</t>
        </is>
      </c>
    </row>
    <row r="93">
      <c r="A93" s="50" t="inlineStr">
        <is>
          <t>AANDACHTSPUNTEN</t>
        </is>
      </c>
      <c r="B93" s="50" t="n"/>
      <c r="C93" s="50" t="n"/>
      <c r="D93" s="50" t="n"/>
      <c r="E93" s="50" t="n"/>
      <c r="F93" s="50" t="n"/>
      <c r="G93" s="50" t="n"/>
      <c r="H93" s="50" t="n"/>
      <c r="I93" s="50" t="n"/>
      <c r="J93" s="50" t="n"/>
      <c r="K93" s="50" t="n"/>
    </row>
    <row r="94">
      <c r="A94" s="64" t="inlineStr">
        <is>
          <t>Audio Obscura + Paard</t>
        </is>
      </c>
      <c r="B94" t="inlineStr">
        <is>
          <t>Niet ingepland: Yasmijn kijkt zelf of ze deze op een andere dag kan doen. Als Friso + Thierry ze toch meenemen: Audio Obscura past donderdag (terug ca. 15:15). Paard (Den Haag) past nergens goed: op de Rotterdam-dag van woensdag wordt het terug ca. 17:40.</t>
        </is>
      </c>
    </row>
    <row r="95">
      <c r="A95" s="64" t="inlineStr">
        <is>
          <t>Friso + Thierry, dinsdag</t>
        </is>
      </c>
      <c r="B95" t="inlineStr">
        <is>
          <t>Friso is om ca. 12:25 op kantoor (uiterlijk 12:45). Vertrek kantoor staat op 14:45 (blauwe cel): loopt de meeting uit, pas die tijd aan en de middag schuift mee. Bij 30 min uitloop terug ca. 17:32. Lukt een lead niet, dan kan die donderdag nog (die dag is om ca. 14:52 klaar).</t>
        </is>
      </c>
    </row>
    <row r="96">
      <c r="A96" s="64" t="inlineStr">
        <is>
          <t>Yasmijn + Steven, woensdag</t>
        </is>
      </c>
      <c r="B96" t="inlineStr">
        <is>
          <t>Terug ca. 17:30, geen speling: twee keer ca. 2 uur rijden (Amsterdam-Groningen en terug via Zuidoost).</t>
        </is>
      </c>
    </row>
    <row r="97">
      <c r="A97" s="64" t="inlineStr">
        <is>
          <t>Classified Events</t>
        </is>
      </c>
      <c r="B97" t="inlineStr">
        <is>
          <t>Staat als [Urgent] op dinsdag, de eerste dag.</t>
        </is>
      </c>
    </row>
    <row r="98">
      <c r="A98" s="64" t="inlineStr">
        <is>
          <t>Volt</t>
        </is>
      </c>
      <c r="B98" t="inlineStr">
        <is>
          <t>Leadowner Thierry (dubbel met Poppodium Volt), bezoek door Yasmijn + Steven op donderdag.</t>
        </is>
      </c>
    </row>
    <row r="99">
      <c r="A99" s="64" t="inlineStr">
        <is>
          <t>Woodstock</t>
        </is>
      </c>
      <c r="B99" t="inlineStr">
        <is>
          <t>Vervalt; niet meer ingepland.</t>
        </is>
      </c>
    </row>
    <row r="100">
      <c r="A100" s="64" t="inlineStr">
        <is>
          <t>The Zoo</t>
        </is>
      </c>
      <c r="B100" t="inlineStr">
        <is>
          <t>Postcode staat als '274 LH'. Waarschijnlijk is dat 3274 LH (Heinenoord); graag controleren.</t>
        </is>
      </c>
    </row>
    <row r="101">
      <c r="A101" s="64" t="inlineStr">
        <is>
          <t>Rijtijden</t>
        </is>
      </c>
      <c r="B101" t="inlineStr">
        <is>
          <t>Trajecten uit de eerdere planning houden hun rijtijd. Nieuwe trajecten zijn geschat (geen live Maps); de heenrit naar Rotterdam is in de ochtendspits op 70 min gezet. Parkeren en spits kunnen afwijken.</t>
        </is>
      </c>
    </row>
  </sheetData>
  <conditionalFormatting sqref="H28:I28">
    <cfRule type="cellIs" priority="1" operator="greaterThan" dxfId="9">
      <formula>TIME(17,30,0)</formula>
    </cfRule>
  </conditionalFormatting>
  <conditionalFormatting sqref="H36">
    <cfRule type="cellIs" priority="2" operator="greaterThan" dxfId="9">
      <formula>TIME(12,45,0)</formula>
    </cfRule>
  </conditionalFormatting>
  <conditionalFormatting sqref="H41:I41">
    <cfRule type="cellIs" priority="3" operator="greaterThan" dxfId="9">
      <formula>TIME(17,30,0)</formula>
    </cfRule>
  </conditionalFormatting>
  <conditionalFormatting sqref="H53:I53">
    <cfRule type="cellIs" priority="4" operator="greaterThan" dxfId="9">
      <formula>TIME(17,30,0)</formula>
    </cfRule>
  </conditionalFormatting>
  <conditionalFormatting sqref="H63:I63">
    <cfRule type="cellIs" priority="5" operator="greaterThan" dxfId="9">
      <formula>TIME(17,30,0)</formula>
    </cfRule>
  </conditionalFormatting>
  <conditionalFormatting sqref="H73:I73">
    <cfRule type="cellIs" priority="6" operator="greaterThan" dxfId="9">
      <formula>TIME(17,30,0)</formula>
    </cfRule>
  </conditionalFormatting>
  <conditionalFormatting sqref="H82:I82">
    <cfRule type="cellIs" priority="7" operator="greaterThan" dxfId="9">
      <formula>TIME(17,30,0)</formula>
    </cfRule>
  </conditionalFormatting>
  <conditionalFormatting sqref="J9:J14">
    <cfRule type="cellIs" priority="8" operator="equal" dxfId="9">
      <formula>"NEE"</formula>
    </cfRule>
    <cfRule type="cellIs" priority="9" operator="equal" dxfId="10">
      <formula>"JA"</formula>
    </cfRule>
  </conditionalFormatting>
  <conditionalFormatting sqref="I9:I14">
    <cfRule type="cellIs" priority="10" operator="greaterThan" dxfId="9">
      <formula>TIME(17,30,0)</formula>
    </cfRule>
  </conditionalFormatting>
  <hyperlinks>
    <hyperlink xmlns:r="http://schemas.openxmlformats.org/officeDocument/2006/relationships" ref="K20" r:id="rId1"/>
    <hyperlink xmlns:r="http://schemas.openxmlformats.org/officeDocument/2006/relationships" ref="K21" r:id="rId2"/>
    <hyperlink xmlns:r="http://schemas.openxmlformats.org/officeDocument/2006/relationships" ref="K22" r:id="rId3"/>
    <hyperlink xmlns:r="http://schemas.openxmlformats.org/officeDocument/2006/relationships" ref="K23" r:id="rId4"/>
    <hyperlink xmlns:r="http://schemas.openxmlformats.org/officeDocument/2006/relationships" ref="K24" r:id="rId5"/>
    <hyperlink xmlns:r="http://schemas.openxmlformats.org/officeDocument/2006/relationships" ref="K25" r:id="rId6"/>
    <hyperlink xmlns:r="http://schemas.openxmlformats.org/officeDocument/2006/relationships" ref="K26" r:id="rId7"/>
    <hyperlink xmlns:r="http://schemas.openxmlformats.org/officeDocument/2006/relationships" ref="K27" r:id="rId8"/>
    <hyperlink xmlns:r="http://schemas.openxmlformats.org/officeDocument/2006/relationships" ref="K31" r:id="rId9"/>
    <hyperlink xmlns:r="http://schemas.openxmlformats.org/officeDocument/2006/relationships" ref="K32" r:id="rId10"/>
    <hyperlink xmlns:r="http://schemas.openxmlformats.org/officeDocument/2006/relationships" ref="K33" r:id="rId11"/>
    <hyperlink xmlns:r="http://schemas.openxmlformats.org/officeDocument/2006/relationships" ref="K34" r:id="rId12"/>
    <hyperlink xmlns:r="http://schemas.openxmlformats.org/officeDocument/2006/relationships" ref="K35" r:id="rId13"/>
    <hyperlink xmlns:r="http://schemas.openxmlformats.org/officeDocument/2006/relationships" ref="K36" r:id="rId14"/>
    <hyperlink xmlns:r="http://schemas.openxmlformats.org/officeDocument/2006/relationships" ref="K37" r:id="rId15"/>
    <hyperlink xmlns:r="http://schemas.openxmlformats.org/officeDocument/2006/relationships" ref="K38" r:id="rId16"/>
    <hyperlink xmlns:r="http://schemas.openxmlformats.org/officeDocument/2006/relationships" ref="K39" r:id="rId17"/>
    <hyperlink xmlns:r="http://schemas.openxmlformats.org/officeDocument/2006/relationships" ref="K40" r:id="rId18"/>
    <hyperlink xmlns:r="http://schemas.openxmlformats.org/officeDocument/2006/relationships" ref="K47" r:id="rId19"/>
    <hyperlink xmlns:r="http://schemas.openxmlformats.org/officeDocument/2006/relationships" ref="K48" r:id="rId20"/>
    <hyperlink xmlns:r="http://schemas.openxmlformats.org/officeDocument/2006/relationships" ref="K49" r:id="rId21"/>
    <hyperlink xmlns:r="http://schemas.openxmlformats.org/officeDocument/2006/relationships" ref="K50" r:id="rId22"/>
    <hyperlink xmlns:r="http://schemas.openxmlformats.org/officeDocument/2006/relationships" ref="K51" r:id="rId23"/>
    <hyperlink xmlns:r="http://schemas.openxmlformats.org/officeDocument/2006/relationships" ref="K52" r:id="rId24"/>
    <hyperlink xmlns:r="http://schemas.openxmlformats.org/officeDocument/2006/relationships" ref="K56" r:id="rId25"/>
    <hyperlink xmlns:r="http://schemas.openxmlformats.org/officeDocument/2006/relationships" ref="K57" r:id="rId26"/>
    <hyperlink xmlns:r="http://schemas.openxmlformats.org/officeDocument/2006/relationships" ref="K58" r:id="rId27"/>
    <hyperlink xmlns:r="http://schemas.openxmlformats.org/officeDocument/2006/relationships" ref="K59" r:id="rId28"/>
    <hyperlink xmlns:r="http://schemas.openxmlformats.org/officeDocument/2006/relationships" ref="K60" r:id="rId29"/>
    <hyperlink xmlns:r="http://schemas.openxmlformats.org/officeDocument/2006/relationships" ref="K61" r:id="rId30"/>
    <hyperlink xmlns:r="http://schemas.openxmlformats.org/officeDocument/2006/relationships" ref="K62" r:id="rId31"/>
    <hyperlink xmlns:r="http://schemas.openxmlformats.org/officeDocument/2006/relationships" ref="K69" r:id="rId32"/>
    <hyperlink xmlns:r="http://schemas.openxmlformats.org/officeDocument/2006/relationships" ref="K70" r:id="rId33"/>
    <hyperlink xmlns:r="http://schemas.openxmlformats.org/officeDocument/2006/relationships" ref="K71" r:id="rId34"/>
    <hyperlink xmlns:r="http://schemas.openxmlformats.org/officeDocument/2006/relationships" ref="K72" r:id="rId35"/>
    <hyperlink xmlns:r="http://schemas.openxmlformats.org/officeDocument/2006/relationships" ref="K76" r:id="rId36"/>
    <hyperlink xmlns:r="http://schemas.openxmlformats.org/officeDocument/2006/relationships" ref="K77" r:id="rId37"/>
    <hyperlink xmlns:r="http://schemas.openxmlformats.org/officeDocument/2006/relationships" ref="K78" r:id="rId38"/>
    <hyperlink xmlns:r="http://schemas.openxmlformats.org/officeDocument/2006/relationships" ref="K79" r:id="rId39"/>
    <hyperlink xmlns:r="http://schemas.openxmlformats.org/officeDocument/2006/relationships" ref="K80" r:id="rId40"/>
    <hyperlink xmlns:r="http://schemas.openxmlformats.org/officeDocument/2006/relationships" ref="K81" r:id="rId41"/>
  </hyperlinks>
  <pageMargins left="0.75" right="0.75" top="1" bottom="1" header="0.5" footer="0.5"/>
  <legacyDrawing xmlns:ns1="http://schemas.openxmlformats.org/officeDocument/2006/relationships" ns1:id="rIdX2"/>
</worksheet>
</file>

<file path=xl/worksheets/sheet2.xml><?xml version="1.0" encoding="utf-8"?>
<worksheet xmlns="http://schemas.openxmlformats.org/spreadsheetml/2006/main">
  <sheetPr>
    <outlinePr summaryBelow="1" summaryRight="1"/>
    <pageSetUpPr/>
  </sheetPr>
  <dimension ref="A1:E6"/>
  <sheetViews>
    <sheetView tabSelected="0" zoomScaleNormal="100" workbookViewId="0">
      <selection activeCell="A1" sqref="A1"/>
    </sheetView>
  </sheetViews>
  <sheetFormatPr baseColWidth="10" defaultColWidth="8.6640625" defaultRowHeight="15"/>
  <cols>
    <col width="34.83203125" customWidth="1" style="41" min="1" max="1"/>
  </cols>
  <sheetData>
    <row r="1" ht="17" customHeight="1" s="41">
      <c r="A1" s="19" t="inlineStr">
        <is>
          <t>Toekomst Muziek B.V.</t>
        </is>
      </c>
      <c r="B1" s="19" t="inlineStr">
        <is>
          <t>Bas</t>
        </is>
      </c>
      <c r="E1" s="40" t="n"/>
    </row>
    <row r="2" ht="17" customHeight="1" s="41">
      <c r="A2" s="19" t="inlineStr">
        <is>
          <t>Torpedotheater</t>
        </is>
      </c>
      <c r="B2" s="19" t="inlineStr">
        <is>
          <t>Bas</t>
        </is>
      </c>
      <c r="E2" s="40" t="n"/>
    </row>
    <row r="3" ht="17" customHeight="1" s="41">
      <c r="A3" s="19" t="inlineStr">
        <is>
          <t>Bijlmerbios Openluchtbioscoop</t>
        </is>
      </c>
      <c r="B3" s="19" t="inlineStr">
        <is>
          <t>Emiel</t>
        </is>
      </c>
      <c r="E3" s="40" t="n"/>
    </row>
    <row r="4" ht="17" customHeight="1" s="41">
      <c r="A4" s="19" t="inlineStr">
        <is>
          <t>Theater 't Kapelletje</t>
        </is>
      </c>
      <c r="B4" s="19" t="inlineStr">
        <is>
          <t>Bas</t>
        </is>
      </c>
      <c r="E4" s="40" t="n"/>
    </row>
    <row r="5" ht="17" customHeight="1" s="41">
      <c r="A5" s="19" t="inlineStr">
        <is>
          <t>Bloemencorso</t>
        </is>
      </c>
      <c r="B5" s="19" t="inlineStr">
        <is>
          <t>Bas</t>
        </is>
      </c>
      <c r="E5" s="40" t="n"/>
    </row>
    <row r="6">
      <c r="A6" t="inlineStr">
        <is>
          <t>Supper Club</t>
        </is>
      </c>
      <c r="B6" t="inlineStr">
        <is>
          <t>Bas</t>
        </is>
      </c>
    </row>
  </sheetData>
  <pageMargins left="0.7" right="0.7" top="0.75" bottom="0.75"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B2:R47"/>
  <sheetViews>
    <sheetView tabSelected="0" topLeftCell="C4" workbookViewId="0">
      <selection activeCell="T23" sqref="T23"/>
    </sheetView>
  </sheetViews>
  <sheetFormatPr baseColWidth="10" defaultColWidth="8.83203125" defaultRowHeight="15"/>
  <cols>
    <col width="6.33203125" customWidth="1" style="41" min="2" max="2"/>
    <col width="24.5" bestFit="1" customWidth="1" style="41" min="3" max="3"/>
    <col width="15.83203125" bestFit="1" customWidth="1" style="41" min="5" max="5"/>
    <col width="25.5" bestFit="1" customWidth="1" style="41" min="13" max="13"/>
    <col width="11.1640625" bestFit="1" customWidth="1" style="41" min="14" max="14"/>
    <col width="16" bestFit="1" customWidth="1" style="41" min="15" max="15"/>
    <col width="12.83203125" customWidth="1" style="41" min="18" max="18"/>
  </cols>
  <sheetData>
    <row r="2" ht="19" customHeight="1" s="41">
      <c r="B2" s="21" t="inlineStr">
        <is>
          <t>ADE Door-to-Door | Leadoverzicht P-Logic</t>
        </is>
      </c>
      <c r="C2" s="21" t="n"/>
      <c r="D2" s="21" t="n"/>
      <c r="E2" s="21" t="inlineStr">
        <is>
          <t xml:space="preserve"> </t>
        </is>
      </c>
      <c r="F2" s="21" t="inlineStr">
        <is>
          <t xml:space="preserve"> </t>
        </is>
      </c>
      <c r="G2" s="22" t="n"/>
      <c r="H2" s="22" t="n"/>
      <c r="I2" s="22" t="n"/>
    </row>
    <row r="3">
      <c r="B3" s="22" t="inlineStr">
        <is>
          <t>Team en Dag komen automatisch uit het tabblad 'Planning 2 teams'. Poppodium Volt is weggelaten (dubbel met Volt).</t>
        </is>
      </c>
      <c r="C3" s="22" t="n"/>
      <c r="D3" s="22" t="n"/>
      <c r="E3" s="22" t="n"/>
      <c r="F3" s="22" t="n"/>
      <c r="G3" s="22" t="n"/>
      <c r="H3" s="22" t="n"/>
      <c r="I3" s="22" t="n"/>
      <c r="J3" s="33" t="n"/>
    </row>
    <row r="4">
      <c r="B4" s="22" t="n"/>
      <c r="C4" s="22" t="n"/>
      <c r="D4" s="22" t="n"/>
      <c r="E4" s="22" t="n"/>
      <c r="F4" s="22" t="n"/>
      <c r="G4" s="22" t="n"/>
      <c r="H4" s="22" t="n"/>
      <c r="I4" s="22" t="n"/>
      <c r="J4" s="33" t="n"/>
    </row>
    <row r="5">
      <c r="B5" s="23" t="inlineStr">
        <is>
          <t>#</t>
        </is>
      </c>
      <c r="C5" s="23" t="inlineStr">
        <is>
          <t>Lead</t>
        </is>
      </c>
      <c r="D5" s="23" t="inlineStr">
        <is>
          <t>Leadowner</t>
        </is>
      </c>
      <c r="E5" s="23" t="inlineStr">
        <is>
          <t>Team</t>
        </is>
      </c>
      <c r="F5" s="23" t="inlineStr">
        <is>
          <t>Dag</t>
        </is>
      </c>
      <c r="G5" s="22" t="n"/>
      <c r="H5" s="23" t="inlineStr">
        <is>
          <t>Legenda</t>
        </is>
      </c>
      <c r="I5" s="23" t="inlineStr">
        <is>
          <t>Leads</t>
        </is>
      </c>
      <c r="J5" s="33" t="n"/>
      <c r="L5" s="23" t="inlineStr">
        <is>
          <t>#</t>
        </is>
      </c>
      <c r="M5" s="23" t="inlineStr">
        <is>
          <t>Lead</t>
        </is>
      </c>
      <c r="N5" s="23" t="inlineStr">
        <is>
          <t>Leadowner</t>
        </is>
      </c>
      <c r="O5" s="23" t="inlineStr">
        <is>
          <t>Team</t>
        </is>
      </c>
      <c r="P5" s="23" t="inlineStr">
        <is>
          <t>Dag</t>
        </is>
      </c>
    </row>
    <row r="6">
      <c r="B6" s="22" t="n">
        <v>1</v>
      </c>
      <c r="C6" s="22" t="inlineStr">
        <is>
          <t>Paradigm</t>
        </is>
      </c>
      <c r="D6" s="24" t="inlineStr">
        <is>
          <t>Yasmijn</t>
        </is>
      </c>
      <c r="E6" s="35" t="inlineStr">
        <is>
          <t>Yasmijn + Steven</t>
        </is>
      </c>
      <c r="F6" s="22" t="n">
        <v>1</v>
      </c>
      <c r="G6" s="22" t="n"/>
      <c r="H6" s="25" t="inlineStr">
        <is>
          <t>Yasmijn</t>
        </is>
      </c>
      <c r="I6" s="22" t="n">
        <v>15</v>
      </c>
      <c r="L6" s="22" t="n">
        <v>1</v>
      </c>
      <c r="M6" s="22" t="inlineStr">
        <is>
          <t>Paradigm</t>
        </is>
      </c>
      <c r="N6" s="24" t="inlineStr">
        <is>
          <t>Yasmijn</t>
        </is>
      </c>
      <c r="O6" s="35" t="inlineStr">
        <is>
          <t>Yasmijn + Steven</t>
        </is>
      </c>
      <c r="P6" s="22" t="str">
        <f>IFERROR(CHOOSE(COUNTIF('Door2Door| Paylogic'!$A$1:INDEX('Door2Door| Paylogic'!$A$1:$A$84,MATCH(M6,'Door2Door| Paylogic'!$C$1:$C$84,0)),"DAG *"),"Dinsdag","Woensdag","Donderdag"),"Niet ingepland")</f>
        <v>Woensdag</v>
      </c>
    </row>
    <row r="7">
      <c r="B7" s="22" t="n">
        <v>2</v>
      </c>
      <c r="C7" s="22" t="inlineStr">
        <is>
          <t>Kaleidoscope</t>
        </is>
      </c>
      <c r="D7" s="24" t="inlineStr">
        <is>
          <t>Yasmijn</t>
        </is>
      </c>
      <c r="E7" s="35" t="inlineStr">
        <is>
          <t>Yasmijn + Steven</t>
        </is>
      </c>
      <c r="F7" s="22" t="n">
        <v>1</v>
      </c>
      <c r="G7" s="22" t="n"/>
      <c r="H7" s="26" t="inlineStr">
        <is>
          <t>Friso</t>
        </is>
      </c>
      <c r="I7" s="22" t="n">
        <v>19</v>
      </c>
      <c r="L7" s="22" t="n">
        <v>2</v>
      </c>
      <c r="M7" s="22" t="inlineStr">
        <is>
          <t>Kaleidoscope</t>
        </is>
      </c>
      <c r="N7" s="24" t="inlineStr">
        <is>
          <t>Yasmijn</t>
        </is>
      </c>
      <c r="O7" s="35" t="inlineStr">
        <is>
          <t>Yasmijn + Steven</t>
        </is>
      </c>
      <c r="P7" s="22" t="str">
        <f>IFERROR(CHOOSE(COUNTIF('Door2Door| Paylogic'!$A$1:INDEX('Door2Door| Paylogic'!$A$1:$A$84,MATCH(M7,'Door2Door| Paylogic'!$C$1:$C$84,0)),"DAG *"),"Dinsdag","Woensdag","Donderdag"),"Niet ingepland")</f>
        <v>Woensdag</v>
      </c>
    </row>
    <row r="8">
      <c r="B8" s="22" t="n">
        <v>3</v>
      </c>
      <c r="C8" s="22" t="inlineStr">
        <is>
          <t>ONA Groep</t>
        </is>
      </c>
      <c r="D8" s="24" t="inlineStr">
        <is>
          <t>Yasmijn</t>
        </is>
      </c>
      <c r="E8" s="35" t="inlineStr">
        <is>
          <t>Yasmijn + Steven</t>
        </is>
      </c>
      <c r="F8" s="22" t="n">
        <v>1</v>
      </c>
      <c r="G8" s="22" t="n"/>
      <c r="H8" s="27" t="inlineStr">
        <is>
          <t>Thierry</t>
        </is>
      </c>
      <c r="I8" s="22" t="n">
        <v>7</v>
      </c>
      <c r="L8" s="22" t="n">
        <v>3</v>
      </c>
      <c r="M8" s="22" t="inlineStr">
        <is>
          <t>ONA Groep</t>
        </is>
      </c>
      <c r="N8" s="24" t="inlineStr">
        <is>
          <t>Yasmijn</t>
        </is>
      </c>
      <c r="O8" s="35" t="inlineStr">
        <is>
          <t>Yasmijn + Steven</t>
        </is>
      </c>
      <c r="P8" s="22" t="str">
        <f>IFERROR(CHOOSE(COUNTIF('Door2Door| Paylogic'!$A$1:INDEX('Door2Door| Paylogic'!$A$1:$A$84,MATCH(M8,'Door2Door| Paylogic'!$C$1:$C$84,0)),"DAG *"),"Dinsdag","Woensdag","Donderdag"),"Niet ingepland")</f>
        <v>Dinsdag</v>
      </c>
    </row>
    <row r="9">
      <c r="B9" s="22" t="n">
        <v>4</v>
      </c>
      <c r="C9" s="22" t="inlineStr">
        <is>
          <t>Reggae Lake</t>
        </is>
      </c>
      <c r="D9" s="28" t="inlineStr">
        <is>
          <t>Friso</t>
        </is>
      </c>
      <c r="E9" s="35" t="inlineStr">
        <is>
          <t>Yasmijn + Steven</t>
        </is>
      </c>
      <c r="F9" s="22" t="n">
        <v>1</v>
      </c>
      <c r="G9" s="22" t="n"/>
      <c r="H9" s="29" t="inlineStr">
        <is>
          <t>Odin</t>
        </is>
      </c>
      <c r="I9" s="22" t="n">
        <v>2</v>
      </c>
      <c r="L9" s="22" t="n">
        <v>4</v>
      </c>
      <c r="M9" s="22" t="inlineStr">
        <is>
          <t>Reggae Lake</t>
        </is>
      </c>
      <c r="N9" s="28" t="inlineStr">
        <is>
          <t>Friso</t>
        </is>
      </c>
      <c r="O9" s="35" t="inlineStr">
        <is>
          <t>Yasmijn + Steven</t>
        </is>
      </c>
      <c r="P9" s="22" t="str">
        <f>IFERROR(CHOOSE(COUNTIF('Door2Door| Paylogic'!$A$1:INDEX('Door2Door| Paylogic'!$A$1:$A$84,MATCH(M9,'Door2Door| Paylogic'!$C$1:$C$84,0)),"DAG *"),"Dinsdag","Woensdag","Donderdag"),"Niet ingepland")</f>
        <v>Dinsdag</v>
      </c>
      <c r="R9" t="inlineStr">
        <is>
          <t>Milo dinsdag</t>
        </is>
      </c>
    </row>
    <row r="10">
      <c r="B10" s="22" t="n">
        <v>5</v>
      </c>
      <c r="C10" s="22" t="inlineStr">
        <is>
          <t>Listen to Flow</t>
        </is>
      </c>
      <c r="D10" s="30" t="inlineStr">
        <is>
          <t>Thierry</t>
        </is>
      </c>
      <c r="E10" s="35" t="inlineStr">
        <is>
          <t>Yasmijn + Steven</t>
        </is>
      </c>
      <c r="F10" s="22" t="n">
        <v>2</v>
      </c>
      <c r="G10" s="22" t="n"/>
      <c r="H10" s="31" t="inlineStr">
        <is>
          <t>Totaal</t>
        </is>
      </c>
      <c r="I10" s="31" t="n">
        <v>43</v>
      </c>
      <c r="L10" s="22" t="n">
        <v>5</v>
      </c>
      <c r="M10" s="22" t="inlineStr">
        <is>
          <t>Listen to Flow</t>
        </is>
      </c>
      <c r="N10" s="30" t="inlineStr">
        <is>
          <t>Thierry</t>
        </is>
      </c>
      <c r="O10" s="35" t="inlineStr">
        <is>
          <t>Yasmijn + Steven</t>
        </is>
      </c>
      <c r="P10" s="22" t="str">
        <f>IFERROR(CHOOSE(COUNTIF('Door2Door| Paylogic'!$A$1:INDEX('Door2Door| Paylogic'!$A$1:$A$84,MATCH(M10,'Door2Door| Paylogic'!$C$1:$C$84,0)),"DAG *"),"Dinsdag","Woensdag","Donderdag"),"Niet ingepland")</f>
        <v>Dinsdag</v>
      </c>
    </row>
    <row r="11">
      <c r="B11" s="22" t="n">
        <v>6</v>
      </c>
      <c r="C11" s="22" t="inlineStr">
        <is>
          <t>Classified Events [Urgent]</t>
        </is>
      </c>
      <c r="D11" s="30" t="inlineStr">
        <is>
          <t>Thierry</t>
        </is>
      </c>
      <c r="E11" s="35" t="inlineStr">
        <is>
          <t>Yasmijn + Steven</t>
        </is>
      </c>
      <c r="F11" s="22" t="n">
        <v>2</v>
      </c>
      <c r="G11" s="22" t="n"/>
      <c r="H11" s="22" t="n"/>
      <c r="I11" s="22" t="n"/>
      <c r="L11" s="22" t="n">
        <v>6</v>
      </c>
      <c r="M11" s="22" t="inlineStr">
        <is>
          <t>Classified Events [Urgent]</t>
        </is>
      </c>
      <c r="N11" s="30" t="inlineStr">
        <is>
          <t>Thierry</t>
        </is>
      </c>
      <c r="O11" s="35" t="inlineStr">
        <is>
          <t>Yasmijn + Steven</t>
        </is>
      </c>
      <c r="P11" s="22" t="str">
        <f>IFERROR(CHOOSE(COUNTIF('Door2Door| Paylogic'!$A$1:INDEX('Door2Door| Paylogic'!$A$1:$A$84,MATCH(M11,'Door2Door| Paylogic'!$C$1:$C$84,0)),"DAG *"),"Dinsdag","Woensdag","Donderdag"),"Niet ingepland")</f>
        <v>Dinsdag</v>
      </c>
    </row>
    <row r="12">
      <c r="B12" s="22" t="n">
        <v>7</v>
      </c>
      <c r="C12" s="22" t="inlineStr">
        <is>
          <t>Studio Linksvoor</t>
        </is>
      </c>
      <c r="D12" s="24" t="inlineStr">
        <is>
          <t>Yasmijn</t>
        </is>
      </c>
      <c r="E12" s="35" t="inlineStr">
        <is>
          <t>Yasmijn + Steven</t>
        </is>
      </c>
      <c r="F12" s="22" t="n">
        <v>2</v>
      </c>
      <c r="G12" s="22" t="n"/>
      <c r="H12" s="22" t="n"/>
      <c r="I12" s="22" t="n"/>
      <c r="L12" s="22" t="n">
        <v>7</v>
      </c>
      <c r="M12" s="22" t="inlineStr">
        <is>
          <t>Studio Linksvoor</t>
        </is>
      </c>
      <c r="N12" s="24" t="inlineStr">
        <is>
          <t>Yasmijn</t>
        </is>
      </c>
      <c r="O12" s="35" t="inlineStr">
        <is>
          <t>Yasmijn + Steven</t>
        </is>
      </c>
      <c r="P12" s="22" t="str">
        <f>IFERROR(CHOOSE(COUNTIF('Door2Door| Paylogic'!$A$1:INDEX('Door2Door| Paylogic'!$A$1:$A$84,MATCH(M12,'Door2Door| Paylogic'!$C$1:$C$84,0)),"DAG *"),"Dinsdag","Woensdag","Donderdag"),"Niet ingepland")</f>
        <v>Dinsdag</v>
      </c>
    </row>
    <row r="13">
      <c r="B13" s="22" t="n">
        <v>8</v>
      </c>
      <c r="C13" s="22" t="inlineStr">
        <is>
          <t>Muze Misse</t>
        </is>
      </c>
      <c r="D13" s="24" t="inlineStr">
        <is>
          <t>Yasmijn</t>
        </is>
      </c>
      <c r="E13" s="35" t="inlineStr">
        <is>
          <t>Yasmijn + Steven</t>
        </is>
      </c>
      <c r="F13" s="22" t="n">
        <v>2</v>
      </c>
      <c r="G13" s="22" t="n"/>
      <c r="H13" s="22" t="n"/>
      <c r="I13" s="22" t="n"/>
      <c r="L13" s="22" t="n">
        <v>8</v>
      </c>
      <c r="M13" s="22" t="inlineStr">
        <is>
          <t>Muze Misse</t>
        </is>
      </c>
      <c r="N13" s="24" t="inlineStr">
        <is>
          <t>Yasmijn</t>
        </is>
      </c>
      <c r="O13" s="35" t="inlineStr">
        <is>
          <t>Yasmijn + Steven</t>
        </is>
      </c>
      <c r="P13" s="22" t="str">
        <f>IFERROR(CHOOSE(COUNTIF('Door2Door| Paylogic'!$A$1:INDEX('Door2Door| Paylogic'!$A$1:$A$84,MATCH(M13,'Door2Door| Paylogic'!$C$1:$C$84,0)),"DAG *"),"Dinsdag","Woensdag","Donderdag"),"Niet ingepland")</f>
        <v>Donderdag</v>
      </c>
    </row>
    <row r="14">
      <c r="B14" s="22" t="n">
        <v>9</v>
      </c>
      <c r="C14" s="22" t="inlineStr">
        <is>
          <t>Par-t</t>
        </is>
      </c>
      <c r="D14" s="24" t="inlineStr">
        <is>
          <t>Yasmijn</t>
        </is>
      </c>
      <c r="E14" s="35" t="inlineStr">
        <is>
          <t>Yasmijn + Steven</t>
        </is>
      </c>
      <c r="F14" s="22" t="n">
        <v>2</v>
      </c>
      <c r="G14" s="22" t="n"/>
      <c r="H14" s="22" t="n"/>
      <c r="I14" s="22" t="n"/>
      <c r="L14" s="22" t="n">
        <v>9</v>
      </c>
      <c r="M14" s="22" t="inlineStr">
        <is>
          <t>Par-t</t>
        </is>
      </c>
      <c r="N14" s="24" t="inlineStr">
        <is>
          <t>Yasmijn</t>
        </is>
      </c>
      <c r="O14" s="35" t="inlineStr">
        <is>
          <t>Yasmijn + Steven</t>
        </is>
      </c>
      <c r="P14" s="22" t="str">
        <f>IFERROR(CHOOSE(COUNTIF('Door2Door| Paylogic'!$A$1:INDEX('Door2Door| Paylogic'!$A$1:$A$84,MATCH(M14,'Door2Door| Paylogic'!$C$1:$C$84,0)),"DAG *"),"Dinsdag","Woensdag","Donderdag"),"Niet ingepland")</f>
        <v>Donderdag</v>
      </c>
    </row>
    <row r="15">
      <c r="B15" s="22" t="n">
        <v>10</v>
      </c>
      <c r="C15" s="22" t="inlineStr">
        <is>
          <t>Minority Events</t>
        </is>
      </c>
      <c r="D15" s="24" t="inlineStr">
        <is>
          <t>Yasmijn</t>
        </is>
      </c>
      <c r="E15" s="35" t="inlineStr">
        <is>
          <t>Yasmijn + Steven</t>
        </is>
      </c>
      <c r="F15" s="22" t="n">
        <v>2</v>
      </c>
      <c r="G15" s="22" t="n"/>
      <c r="H15" s="22" t="n"/>
      <c r="I15" s="22" t="n"/>
      <c r="L15" s="22" t="n">
        <v>10</v>
      </c>
      <c r="M15" s="22" t="inlineStr">
        <is>
          <t>Minority Events</t>
        </is>
      </c>
      <c r="N15" s="24" t="inlineStr">
        <is>
          <t>Yasmijn</t>
        </is>
      </c>
      <c r="O15" s="35" t="inlineStr">
        <is>
          <t>Yasmijn + Steven</t>
        </is>
      </c>
      <c r="P15" s="22" t="str">
        <f>IFERROR(CHOOSE(COUNTIF('Door2Door| Paylogic'!$A$1:INDEX('Door2Door| Paylogic'!$A$1:$A$84,MATCH(M15,'Door2Door| Paylogic'!$C$1:$C$84,0)),"DAG *"),"Dinsdag","Woensdag","Donderdag"),"Niet ingepland")</f>
        <v>Donderdag</v>
      </c>
    </row>
    <row r="16">
      <c r="B16" s="22" t="n">
        <v>11</v>
      </c>
      <c r="C16" s="22" t="inlineStr">
        <is>
          <t>Volt</t>
        </is>
      </c>
      <c r="D16" s="30" t="inlineStr">
        <is>
          <t>Thierry</t>
        </is>
      </c>
      <c r="E16" s="35" t="inlineStr">
        <is>
          <t>Yasmijn + Steven</t>
        </is>
      </c>
      <c r="F16" s="22" t="n">
        <v>3</v>
      </c>
      <c r="G16" s="22" t="n"/>
      <c r="H16" s="22" t="n"/>
      <c r="I16" s="22" t="n"/>
      <c r="L16" s="22" t="n">
        <v>11</v>
      </c>
      <c r="M16" s="22" t="inlineStr">
        <is>
          <t>Volt</t>
        </is>
      </c>
      <c r="N16" s="30" t="inlineStr">
        <is>
          <t>Thierry</t>
        </is>
      </c>
      <c r="O16" s="35" t="inlineStr">
        <is>
          <t>Yasmijn + Steven</t>
        </is>
      </c>
      <c r="P16" s="22" t="str">
        <f>IFERROR(CHOOSE(COUNTIF('Door2Door| Paylogic'!$A$1:INDEX('Door2Door| Paylogic'!$A$1:$A$84,MATCH(M16,'Door2Door| Paylogic'!$C$1:$C$84,0)),"DAG *"),"Dinsdag","Woensdag","Donderdag"),"Niet ingepland")</f>
        <v>Donderdag</v>
      </c>
    </row>
    <row r="17">
      <c r="B17" s="22" t="n">
        <v>12</v>
      </c>
      <c r="C17" s="22" t="inlineStr">
        <is>
          <t>Elevation Events</t>
        </is>
      </c>
      <c r="D17" s="24" t="inlineStr">
        <is>
          <t>Yasmijn</t>
        </is>
      </c>
      <c r="E17" s="35" t="inlineStr">
        <is>
          <t>Yasmijn + Steven</t>
        </is>
      </c>
      <c r="F17" s="22" t="n">
        <v>3</v>
      </c>
      <c r="G17" s="22" t="n"/>
      <c r="H17" s="22" t="n"/>
      <c r="I17" s="22" t="n"/>
      <c r="L17" s="22" t="n">
        <v>12</v>
      </c>
      <c r="M17" s="22" t="inlineStr">
        <is>
          <t>Elevation Events</t>
        </is>
      </c>
      <c r="N17" s="24" t="inlineStr">
        <is>
          <t>Yasmijn</t>
        </is>
      </c>
      <c r="O17" s="35" t="inlineStr">
        <is>
          <t>Yasmijn + Steven</t>
        </is>
      </c>
      <c r="P17" s="22" t="str">
        <f>IFERROR(CHOOSE(COUNTIF('Door2Door| Paylogic'!$A$1:INDEX('Door2Door| Paylogic'!$A$1:$A$84,MATCH(M17,'Door2Door| Paylogic'!$C$1:$C$84,0)),"DAG *"),"Dinsdag","Woensdag","Donderdag"),"Niet ingepland")</f>
        <v>Dinsdag</v>
      </c>
    </row>
    <row r="18">
      <c r="B18" s="22" t="n">
        <v>13</v>
      </c>
      <c r="C18" s="22" t="inlineStr">
        <is>
          <t>Jaarbeurs</t>
        </is>
      </c>
      <c r="D18" s="30" t="inlineStr">
        <is>
          <t>Thierry</t>
        </is>
      </c>
      <c r="E18" s="35" t="inlineStr">
        <is>
          <t>Yasmijn + Steven</t>
        </is>
      </c>
      <c r="F18" s="22" t="n">
        <v>3</v>
      </c>
      <c r="G18" s="22" t="n"/>
      <c r="H18" s="22" t="n"/>
      <c r="I18" s="22" t="n"/>
      <c r="L18" s="22" t="n">
        <v>13</v>
      </c>
      <c r="M18" s="22" t="inlineStr">
        <is>
          <t>Jaarbeurs</t>
        </is>
      </c>
      <c r="N18" s="30" t="inlineStr">
        <is>
          <t>Thierry</t>
        </is>
      </c>
      <c r="O18" s="35" t="inlineStr">
        <is>
          <t>Yasmijn + Steven</t>
        </is>
      </c>
      <c r="P18" s="22" t="str">
        <f>IFERROR(CHOOSE(COUNTIF('Door2Door| Paylogic'!$A$1:INDEX('Door2Door| Paylogic'!$A$1:$A$84,MATCH(M18,'Door2Door| Paylogic'!$C$1:$C$84,0)),"DAG *"),"Dinsdag","Woensdag","Donderdag"),"Niet ingepland")</f>
        <v>Dinsdag</v>
      </c>
    </row>
    <row r="19">
      <c r="B19" s="22" t="n">
        <v>14</v>
      </c>
      <c r="C19" s="22" t="inlineStr">
        <is>
          <t>Intercell/ AFP</t>
        </is>
      </c>
      <c r="D19" s="24" t="inlineStr">
        <is>
          <t>Yasmijn</t>
        </is>
      </c>
      <c r="E19" s="35" t="inlineStr">
        <is>
          <t>Yasmijn + Steven</t>
        </is>
      </c>
      <c r="F19" s="22" t="n">
        <v>3</v>
      </c>
      <c r="G19" s="22" t="n"/>
      <c r="H19" s="22" t="n"/>
      <c r="I19" s="22" t="n"/>
      <c r="L19" s="22" t="n">
        <v>14</v>
      </c>
      <c r="M19" s="22" t="inlineStr">
        <is>
          <t>Intercell/ AFP</t>
        </is>
      </c>
      <c r="N19" s="24" t="inlineStr">
        <is>
          <t>Yasmijn</t>
        </is>
      </c>
      <c r="O19" s="35" t="inlineStr">
        <is>
          <t>Yasmijn + Steven</t>
        </is>
      </c>
      <c r="P19" s="22" t="str">
        <f>IFERROR(CHOOSE(COUNTIF('Door2Door| Paylogic'!$A$1:INDEX('Door2Door| Paylogic'!$A$1:$A$84,MATCH(M19,'Door2Door| Paylogic'!$C$1:$C$84,0)),"DAG *"),"Dinsdag","Woensdag","Donderdag"),"Niet ingepland")</f>
        <v>Dinsdag</v>
      </c>
    </row>
    <row r="20">
      <c r="B20" s="22" t="n">
        <v>15</v>
      </c>
      <c r="C20" s="22" t="inlineStr">
        <is>
          <t>Sunsplash</t>
        </is>
      </c>
      <c r="D20" s="24" t="inlineStr">
        <is>
          <t>Yasmijn</t>
        </is>
      </c>
      <c r="E20" s="35" t="inlineStr">
        <is>
          <t>Yasmijn + Steven</t>
        </is>
      </c>
      <c r="F20" s="22" t="n">
        <v>3</v>
      </c>
      <c r="G20" s="22" t="n"/>
      <c r="H20" s="22" t="n"/>
      <c r="I20" s="22" t="n"/>
      <c r="L20" s="22" t="n">
        <v>15</v>
      </c>
      <c r="M20" s="22" t="inlineStr">
        <is>
          <t>Sunsplash</t>
        </is>
      </c>
      <c r="N20" s="24" t="inlineStr">
        <is>
          <t>Yasmijn</t>
        </is>
      </c>
      <c r="O20" s="35" t="inlineStr">
        <is>
          <t>Yasmijn + Steven</t>
        </is>
      </c>
      <c r="P20" s="22" t="str">
        <f>IFERROR(CHOOSE(COUNTIF('Door2Door| Paylogic'!$A$1:INDEX('Door2Door| Paylogic'!$A$1:$A$84,MATCH(M20,'Door2Door| Paylogic'!$C$1:$C$84,0)),"DAG *"),"Dinsdag","Woensdag","Donderdag"),"Niet ingepland")</f>
        <v>Woensdag</v>
      </c>
    </row>
    <row r="21">
      <c r="B21" s="22" t="n">
        <v>16</v>
      </c>
      <c r="C21" s="22" t="inlineStr">
        <is>
          <t>White House Scheveningen</t>
        </is>
      </c>
      <c r="D21" s="30" t="inlineStr">
        <is>
          <t>Thierry</t>
        </is>
      </c>
      <c r="E21" s="34" t="inlineStr">
        <is>
          <t>Friso + Thierry</t>
        </is>
      </c>
      <c r="F21" s="22" t="n">
        <v>1</v>
      </c>
      <c r="G21" s="22" t="n"/>
      <c r="H21" s="22" t="n"/>
      <c r="I21" s="22" t="n"/>
      <c r="L21" s="22" t="n">
        <v>16</v>
      </c>
      <c r="M21" s="39" t="inlineStr">
        <is>
          <t>Paard</t>
        </is>
      </c>
      <c r="N21" s="39" t="inlineStr">
        <is>
          <t>Yasmijn</t>
        </is>
      </c>
      <c r="O21" s="35" t="inlineStr">
        <is>
          <t>Yasmijn + Steven</t>
        </is>
      </c>
      <c r="P21" s="22" t="str">
        <f>IFERROR(CHOOSE(COUNTIF('Door2Door| Paylogic'!$A$1:INDEX('Door2Door| Paylogic'!$A$1:$A$84,MATCH(M21,'Door2Door| Paylogic'!$C$1:$C$84,0)),"DAG *"),"Dinsdag","Woensdag","Donderdag"),"Niet ingepland")</f>
        <v>Niet ingepland</v>
      </c>
    </row>
    <row r="22">
      <c r="B22" s="22" t="n">
        <v>17</v>
      </c>
      <c r="C22" s="39" t="inlineStr">
        <is>
          <t>Paard</t>
        </is>
      </c>
      <c r="D22" s="39" t="inlineStr">
        <is>
          <t>Yasmijn</t>
        </is>
      </c>
      <c r="E22" s="39" t="inlineStr">
        <is>
          <t>Friso + Thierry</t>
        </is>
      </c>
      <c r="F22" s="22" t="n">
        <v>1</v>
      </c>
      <c r="G22" s="22" t="n"/>
      <c r="H22" s="22" t="n"/>
      <c r="I22" s="22" t="n"/>
      <c r="L22" s="22" t="n">
        <v>17</v>
      </c>
      <c r="M22" s="39" t="inlineStr">
        <is>
          <t>Audio Obscura</t>
        </is>
      </c>
      <c r="N22" s="39" t="inlineStr">
        <is>
          <t>Friso</t>
        </is>
      </c>
      <c r="O22" s="35" t="inlineStr">
        <is>
          <t>Yasmijn + Steven</t>
        </is>
      </c>
      <c r="P22" s="22" t="str">
        <f>IFERROR(CHOOSE(COUNTIF('Door2Door| Paylogic'!$A$1:INDEX('Door2Door| Paylogic'!$A$1:$A$84,MATCH(M22,'Door2Door| Paylogic'!$C$1:$C$84,0)),"DAG *"),"Dinsdag","Woensdag","Donderdag"),"Niet ingepland")</f>
        <v>Niet ingepland</v>
      </c>
    </row>
    <row r="23">
      <c r="B23" s="22" t="n">
        <v>18</v>
      </c>
      <c r="C23" s="22" t="inlineStr">
        <is>
          <t>Cinema Culinair</t>
        </is>
      </c>
      <c r="D23" s="24" t="inlineStr">
        <is>
          <t>Yasmijn</t>
        </is>
      </c>
      <c r="E23" s="34" t="inlineStr">
        <is>
          <t>Friso + Thierry</t>
        </is>
      </c>
      <c r="F23" s="22" t="n">
        <v>1</v>
      </c>
      <c r="G23" s="22" t="n"/>
      <c r="H23" s="22" t="n"/>
      <c r="I23" s="22" t="n"/>
      <c r="L23" s="22" t="n">
        <v>18</v>
      </c>
      <c r="M23" s="38" t="inlineStr">
        <is>
          <t>Gashouder</t>
        </is>
      </c>
      <c r="N23" s="38" t="inlineStr">
        <is>
          <t>Yasmijn</t>
        </is>
      </c>
      <c r="O23" s="35" t="inlineStr">
        <is>
          <t>Yasmijn + Steven</t>
        </is>
      </c>
      <c r="P23" s="37" t="str">
        <f>IFERROR(CHOOSE(COUNTIF('Door2Door| Paylogic'!$A$1:INDEX('Door2Door| Paylogic'!$A$1:$A$84,MATCH(M23,'Door2Door| Paylogic'!$C$1:$C$84,0)),"DAG *"),"Dinsdag","Woensdag","Donderdag"),"Niet ingepland")</f>
        <v>Woensdag</v>
      </c>
    </row>
    <row r="24">
      <c r="B24" s="22" t="n">
        <v>19</v>
      </c>
      <c r="C24" s="22" t="inlineStr">
        <is>
          <t>Give Soul</t>
        </is>
      </c>
      <c r="D24" s="28" t="inlineStr">
        <is>
          <t>Friso</t>
        </is>
      </c>
      <c r="E24" s="34" t="inlineStr">
        <is>
          <t>Friso + Thierry</t>
        </is>
      </c>
      <c r="F24" s="22" t="n">
        <v>1</v>
      </c>
      <c r="G24" s="22" t="n"/>
      <c r="H24" s="22" t="n"/>
      <c r="I24" s="22" t="n"/>
      <c r="L24" s="22" t="n"/>
      <c r="M24" s="39" t="inlineStr">
        <is>
          <t>Dfrnt Festival (Tapt)</t>
        </is>
      </c>
      <c r="N24" s="39" t="inlineStr">
        <is>
          <t>Yasmijn</t>
        </is>
      </c>
      <c r="O24" s="35" t="inlineStr">
        <is>
          <t>Yasmijn + Steven</t>
        </is>
      </c>
      <c r="P24" s="22" t="str">
        <f>IFERROR(CHOOSE(COUNTIF('Door2Door| Paylogic'!$A$1:INDEX('Door2Door| Paylogic'!$A$1:$A$84,MATCH(M24,'Door2Door| Paylogic'!$C$1:$C$84,0)),"DAG *"),"Dinsdag","Woensdag","Donderdag"),"Niet ingepland")</f>
        <v>Woensdag</v>
      </c>
    </row>
    <row r="25">
      <c r="B25" s="22" t="n">
        <v>20</v>
      </c>
      <c r="C25" s="22" t="inlineStr">
        <is>
          <t>CUBE</t>
        </is>
      </c>
      <c r="D25" s="28" t="inlineStr">
        <is>
          <t>Friso</t>
        </is>
      </c>
      <c r="E25" s="34" t="inlineStr">
        <is>
          <t>Friso + Thierry</t>
        </is>
      </c>
      <c r="F25" s="22" t="n">
        <v>1</v>
      </c>
      <c r="G25" s="22" t="n"/>
      <c r="H25" s="22" t="n"/>
      <c r="I25" s="22" t="n"/>
      <c r="L25" s="22" t="n"/>
      <c r="M25" s="39" t="inlineStr">
        <is>
          <t>Lofi</t>
        </is>
      </c>
      <c r="N25" s="39" t="inlineStr">
        <is>
          <t>Yasmijn</t>
        </is>
      </c>
      <c r="O25" s="35" t="inlineStr">
        <is>
          <t>Yasmijn + Steven</t>
        </is>
      </c>
      <c r="P25" s="22" t="str">
        <f>IFERROR(CHOOSE(COUNTIF('Door2Door| Paylogic'!$A$1:INDEX('Door2Door| Paylogic'!$A$1:$A$84,MATCH(M25,'Door2Door| Paylogic'!$C$1:$C$84,0)),"DAG *"),"Dinsdag","Woensdag","Donderdag"),"Niet ingepland")</f>
        <v>Woensdag</v>
      </c>
    </row>
    <row r="26">
      <c r="B26" s="22" t="n">
        <v>21</v>
      </c>
      <c r="C26" s="22" t="inlineStr">
        <is>
          <t>Ahoy Rotterdam</t>
        </is>
      </c>
      <c r="D26" s="28" t="inlineStr">
        <is>
          <t>Friso</t>
        </is>
      </c>
      <c r="E26" s="34" t="inlineStr">
        <is>
          <t>Friso + Thierry</t>
        </is>
      </c>
      <c r="F26" s="22" t="n">
        <v>1</v>
      </c>
      <c r="G26" s="22" t="n"/>
      <c r="H26" s="22" t="n"/>
      <c r="I26" s="22" t="n"/>
      <c r="L26" s="22" t="n">
        <v>16</v>
      </c>
      <c r="M26" s="22" t="inlineStr">
        <is>
          <t>White House Scheveningen</t>
        </is>
      </c>
      <c r="N26" s="30" t="inlineStr">
        <is>
          <t>Thierry</t>
        </is>
      </c>
      <c r="O26" s="34" t="inlineStr">
        <is>
          <t>Friso + Thierry</t>
        </is>
      </c>
      <c r="P26" s="22" t="str">
        <f>IFERROR(CHOOSE(COUNTIF('Door2Door| Paylogic'!$A$1:INDEX('Door2Door| Paylogic'!$A$1:$A$84,MATCH(M26,'Door2Door| Paylogic'!$C$1:$C$84,0)),"DAG *"),"Dinsdag","Woensdag","Donderdag"),"Niet ingepland")</f>
        <v>Woensdag</v>
      </c>
    </row>
    <row r="27">
      <c r="B27" s="22" t="n">
        <v>22</v>
      </c>
      <c r="C27" s="22" t="inlineStr">
        <is>
          <t>The Zoo</t>
        </is>
      </c>
      <c r="D27" s="30" t="inlineStr">
        <is>
          <t>Thierry</t>
        </is>
      </c>
      <c r="E27" s="34" t="inlineStr">
        <is>
          <t>Friso + Thierry</t>
        </is>
      </c>
      <c r="F27" s="22" t="n">
        <v>1</v>
      </c>
      <c r="G27" s="22" t="n"/>
      <c r="H27" s="22" t="n"/>
      <c r="I27" s="22" t="n"/>
      <c r="L27" s="22" t="n">
        <v>18</v>
      </c>
      <c r="M27" s="22" t="inlineStr">
        <is>
          <t>Cinema Culinair</t>
        </is>
      </c>
      <c r="N27" s="24" t="inlineStr">
        <is>
          <t>Yasmijn</t>
        </is>
      </c>
      <c r="O27" s="34" t="inlineStr">
        <is>
          <t>Friso + Thierry</t>
        </is>
      </c>
      <c r="P27" s="22" t="str">
        <f>IFERROR(CHOOSE(COUNTIF('Door2Door| Paylogic'!$A$1:INDEX('Door2Door| Paylogic'!$A$1:$A$84,MATCH(M27,'Door2Door| Paylogic'!$C$1:$C$84,0)),"DAG *"),"Dinsdag","Woensdag","Donderdag"),"Niet ingepland")</f>
        <v>Woensdag</v>
      </c>
    </row>
    <row r="28">
      <c r="B28" s="22" t="n">
        <v>23</v>
      </c>
      <c r="C28" s="22" t="inlineStr">
        <is>
          <t>Vivre Productions</t>
        </is>
      </c>
      <c r="D28" s="28" t="inlineStr">
        <is>
          <t>Friso</t>
        </is>
      </c>
      <c r="E28" s="34" t="inlineStr">
        <is>
          <t>Friso + Thierry</t>
        </is>
      </c>
      <c r="F28" s="22" t="n">
        <v>1</v>
      </c>
      <c r="G28" s="22" t="n"/>
      <c r="H28" s="22" t="n"/>
      <c r="I28" s="22" t="n"/>
      <c r="L28" s="22" t="n">
        <v>19</v>
      </c>
      <c r="M28" s="22" t="inlineStr">
        <is>
          <t>Give Soul</t>
        </is>
      </c>
      <c r="N28" s="28" t="inlineStr">
        <is>
          <t>Friso</t>
        </is>
      </c>
      <c r="O28" s="34" t="inlineStr">
        <is>
          <t>Friso + Thierry</t>
        </is>
      </c>
      <c r="P28" s="22" t="str">
        <f>IFERROR(CHOOSE(COUNTIF('Door2Door| Paylogic'!$A$1:INDEX('Door2Door| Paylogic'!$A$1:$A$84,MATCH(M28,'Door2Door| Paylogic'!$C$1:$C$84,0)),"DAG *"),"Dinsdag","Woensdag","Donderdag"),"Niet ingepland")</f>
        <v>Woensdag</v>
      </c>
    </row>
    <row r="29">
      <c r="B29" s="22" t="n">
        <v>24</v>
      </c>
      <c r="C29" s="22" t="inlineStr">
        <is>
          <t>Studio Wieman</t>
        </is>
      </c>
      <c r="D29" s="28" t="inlineStr">
        <is>
          <t>Friso</t>
        </is>
      </c>
      <c r="E29" s="34" t="inlineStr">
        <is>
          <t>Friso + Thierry</t>
        </is>
      </c>
      <c r="F29" s="22" t="n">
        <v>2</v>
      </c>
      <c r="G29" s="22" t="n"/>
      <c r="H29" s="22" t="n"/>
      <c r="I29" s="22" t="n"/>
      <c r="L29" s="22" t="n">
        <v>20</v>
      </c>
      <c r="M29" s="22" t="inlineStr">
        <is>
          <t>CUBE</t>
        </is>
      </c>
      <c r="N29" s="28" t="inlineStr">
        <is>
          <t>Friso</t>
        </is>
      </c>
      <c r="O29" s="34" t="inlineStr">
        <is>
          <t>Friso + Thierry</t>
        </is>
      </c>
      <c r="P29" s="22" t="str">
        <f>IFERROR(CHOOSE(COUNTIF('Door2Door| Paylogic'!$A$1:INDEX('Door2Door| Paylogic'!$A$1:$A$84,MATCH(M29,'Door2Door| Paylogic'!$C$1:$C$84,0)),"DAG *"),"Dinsdag","Woensdag","Donderdag"),"Niet ingepland")</f>
        <v>Woensdag</v>
      </c>
    </row>
    <row r="30">
      <c r="B30" s="22" t="n">
        <v>25</v>
      </c>
      <c r="C30" s="22" t="inlineStr">
        <is>
          <t>ingang / no clubs</t>
        </is>
      </c>
      <c r="D30" s="28" t="inlineStr">
        <is>
          <t>Friso</t>
        </is>
      </c>
      <c r="E30" s="34" t="inlineStr">
        <is>
          <t>Friso + Thierry</t>
        </is>
      </c>
      <c r="F30" s="22" t="n">
        <v>2</v>
      </c>
      <c r="G30" s="22" t="n"/>
      <c r="H30" s="22" t="n"/>
      <c r="I30" s="22" t="n"/>
      <c r="L30" s="22" t="n">
        <v>21</v>
      </c>
      <c r="M30" s="22" t="inlineStr">
        <is>
          <t>Ahoy Rotterdam</t>
        </is>
      </c>
      <c r="N30" s="28" t="inlineStr">
        <is>
          <t>Friso</t>
        </is>
      </c>
      <c r="O30" s="34" t="inlineStr">
        <is>
          <t>Friso + Thierry</t>
        </is>
      </c>
      <c r="P30" s="22" t="str">
        <f>IFERROR(CHOOSE(COUNTIF('Door2Door| Paylogic'!$A$1:INDEX('Door2Door| Paylogic'!$A$1:$A$84,MATCH(M30,'Door2Door| Paylogic'!$C$1:$C$84,0)),"DAG *"),"Dinsdag","Woensdag","Donderdag"),"Niet ingepland")</f>
        <v>Woensdag</v>
      </c>
    </row>
    <row r="31">
      <c r="B31" s="22" t="n">
        <v>26</v>
      </c>
      <c r="C31" s="22" t="inlineStr">
        <is>
          <t>Melkweg</t>
        </is>
      </c>
      <c r="D31" s="32" t="inlineStr">
        <is>
          <t>Odin</t>
        </is>
      </c>
      <c r="E31" s="34" t="inlineStr">
        <is>
          <t>Friso + Thierry</t>
        </is>
      </c>
      <c r="F31" s="22" t="n">
        <v>2</v>
      </c>
      <c r="G31" s="22" t="n"/>
      <c r="H31" s="22" t="n"/>
      <c r="I31" s="22" t="n"/>
      <c r="L31" s="22" t="n">
        <v>22</v>
      </c>
      <c r="M31" s="22" t="inlineStr">
        <is>
          <t>The Zoo</t>
        </is>
      </c>
      <c r="N31" s="30" t="inlineStr">
        <is>
          <t>Thierry</t>
        </is>
      </c>
      <c r="O31" s="34" t="inlineStr">
        <is>
          <t>Friso + Thierry</t>
        </is>
      </c>
      <c r="P31" s="22" t="str">
        <f>IFERROR(CHOOSE(COUNTIF('Door2Door| Paylogic'!$A$1:INDEX('Door2Door| Paylogic'!$A$1:$A$84,MATCH(M31,'Door2Door| Paylogic'!$C$1:$C$84,0)),"DAG *"),"Dinsdag","Woensdag","Donderdag"),"Niet ingepland")</f>
        <v>Woensdag</v>
      </c>
      <c r="Q31" t="inlineStr">
        <is>
          <t>Cecil</t>
        </is>
      </c>
    </row>
    <row r="32">
      <c r="B32" s="22" t="n">
        <v>27</v>
      </c>
      <c r="C32" s="22" t="inlineStr">
        <is>
          <t>A Venue</t>
        </is>
      </c>
      <c r="D32" s="28" t="inlineStr">
        <is>
          <t>Friso</t>
        </is>
      </c>
      <c r="E32" s="34" t="inlineStr">
        <is>
          <t>Friso + Thierry</t>
        </is>
      </c>
      <c r="F32" s="22" t="n">
        <v>2</v>
      </c>
      <c r="G32" s="22" t="n"/>
      <c r="H32" s="22" t="n"/>
      <c r="I32" s="22" t="n"/>
      <c r="L32" s="22" t="n">
        <v>23</v>
      </c>
      <c r="M32" s="22" t="inlineStr">
        <is>
          <t>Vivre Productions</t>
        </is>
      </c>
      <c r="N32" s="28" t="inlineStr">
        <is>
          <t>Friso</t>
        </is>
      </c>
      <c r="O32" s="34" t="inlineStr">
        <is>
          <t>Friso + Thierry</t>
        </is>
      </c>
      <c r="P32" s="22" t="str">
        <f>IFERROR(CHOOSE(COUNTIF('Door2Door| Paylogic'!$A$1:INDEX('Door2Door| Paylogic'!$A$1:$A$84,MATCH(M32,'Door2Door| Paylogic'!$C$1:$C$84,0)),"DAG *"),"Dinsdag","Woensdag","Donderdag"),"Niet ingepland")</f>
        <v>Woensdag</v>
      </c>
    </row>
    <row r="33">
      <c r="B33" s="22" t="n">
        <v>28</v>
      </c>
      <c r="C33" s="22" t="inlineStr">
        <is>
          <t>Tropikali</t>
        </is>
      </c>
      <c r="D33" s="28" t="inlineStr">
        <is>
          <t>Friso</t>
        </is>
      </c>
      <c r="E33" s="34" t="inlineStr">
        <is>
          <t>Friso + Thierry</t>
        </is>
      </c>
      <c r="F33" s="22" t="n">
        <v>2</v>
      </c>
      <c r="G33" s="22" t="n"/>
      <c r="H33" s="22" t="n"/>
      <c r="I33" s="22" t="n"/>
      <c r="L33" s="22" t="n">
        <v>24</v>
      </c>
      <c r="M33" s="22" t="inlineStr">
        <is>
          <t>Studio Wieman</t>
        </is>
      </c>
      <c r="N33" s="28" t="inlineStr">
        <is>
          <t>Friso</t>
        </is>
      </c>
      <c r="O33" s="34" t="inlineStr">
        <is>
          <t>Friso + Thierry</t>
        </is>
      </c>
      <c r="P33" s="22" t="str">
        <f>IFERROR(CHOOSE(COUNTIF('Door2Door| Paylogic'!$A$1:INDEX('Door2Door| Paylogic'!$A$1:$A$84,MATCH(M33,'Door2Door| Paylogic'!$C$1:$C$84,0)),"DAG *"),"Dinsdag","Woensdag","Donderdag"),"Niet ingepland")</f>
        <v>Dinsdag</v>
      </c>
    </row>
    <row r="34">
      <c r="B34" s="22" t="n">
        <v>29</v>
      </c>
      <c r="C34" s="39" t="inlineStr">
        <is>
          <t>Audio Obscura</t>
        </is>
      </c>
      <c r="D34" s="39" t="inlineStr">
        <is>
          <t>Friso</t>
        </is>
      </c>
      <c r="E34" s="39" t="inlineStr">
        <is>
          <t>Friso + Thierry</t>
        </is>
      </c>
      <c r="F34" s="22" t="n">
        <v>2</v>
      </c>
      <c r="G34" s="22" t="n"/>
      <c r="H34" s="22" t="n"/>
      <c r="I34" s="22" t="n"/>
      <c r="L34" s="22" t="n">
        <v>25</v>
      </c>
      <c r="M34" s="22" t="inlineStr">
        <is>
          <t>ingang / no clubs</t>
        </is>
      </c>
      <c r="N34" s="28" t="inlineStr">
        <is>
          <t>Friso</t>
        </is>
      </c>
      <c r="O34" s="34" t="inlineStr">
        <is>
          <t>Friso + Thierry</t>
        </is>
      </c>
      <c r="P34" s="22" t="str">
        <f>IFERROR(CHOOSE(COUNTIF('Door2Door| Paylogic'!$A$1:INDEX('Door2Door| Paylogic'!$A$1:$A$84,MATCH(M34,'Door2Door| Paylogic'!$C$1:$C$84,0)),"DAG *"),"Dinsdag","Woensdag","Donderdag"),"Niet ingepland")</f>
        <v>Dinsdag</v>
      </c>
    </row>
    <row r="35">
      <c r="B35" s="22" t="n">
        <v>30</v>
      </c>
      <c r="C35" s="22" t="inlineStr">
        <is>
          <t>Loveland</t>
        </is>
      </c>
      <c r="D35" s="28" t="inlineStr">
        <is>
          <t>Friso</t>
        </is>
      </c>
      <c r="E35" s="34" t="inlineStr">
        <is>
          <t>Friso + Thierry</t>
        </is>
      </c>
      <c r="F35" s="22" t="n">
        <v>2</v>
      </c>
      <c r="G35" s="22" t="n"/>
      <c r="H35" s="22" t="n"/>
      <c r="I35" s="22" t="n"/>
      <c r="L35" s="22" t="n">
        <v>26</v>
      </c>
      <c r="M35" s="22" t="inlineStr">
        <is>
          <t>Melkweg</t>
        </is>
      </c>
      <c r="N35" s="32" t="inlineStr">
        <is>
          <t>Odin</t>
        </is>
      </c>
      <c r="O35" s="34" t="inlineStr">
        <is>
          <t>Friso + Thierry</t>
        </is>
      </c>
      <c r="P35" s="22" t="str">
        <f>IFERROR(CHOOSE(COUNTIF('Door2Door| Paylogic'!$A$1:INDEX('Door2Door| Paylogic'!$A$1:$A$84,MATCH(M35,'Door2Door| Paylogic'!$C$1:$C$84,0)),"DAG *"),"Dinsdag","Woensdag","Donderdag"),"Niet ingepland")</f>
        <v>Dinsdag</v>
      </c>
    </row>
    <row r="36">
      <c r="B36" s="22" t="n">
        <v>31</v>
      </c>
      <c r="C36" s="22" t="inlineStr">
        <is>
          <t>3X3 Basketbal</t>
        </is>
      </c>
      <c r="D36" s="28" t="inlineStr">
        <is>
          <t>Friso</t>
        </is>
      </c>
      <c r="E36" s="34" t="inlineStr">
        <is>
          <t>Friso + Thierry</t>
        </is>
      </c>
      <c r="F36" s="22" t="n">
        <v>2</v>
      </c>
      <c r="G36" s="22" t="n"/>
      <c r="H36" s="22" t="n"/>
      <c r="I36" s="22" t="n"/>
      <c r="L36" s="22" t="n">
        <v>27</v>
      </c>
      <c r="M36" s="22" t="inlineStr">
        <is>
          <t>A Venue</t>
        </is>
      </c>
      <c r="N36" s="28" t="inlineStr">
        <is>
          <t>Friso</t>
        </is>
      </c>
      <c r="O36" s="34" t="inlineStr">
        <is>
          <t>Friso + Thierry</t>
        </is>
      </c>
      <c r="P36" s="22" t="str">
        <f>IFERROR(CHOOSE(COUNTIF('Door2Door| Paylogic'!$A$1:INDEX('Door2Door| Paylogic'!$A$1:$A$84,MATCH(M36,'Door2Door| Paylogic'!$C$1:$C$84,0)),"DAG *"),"Dinsdag","Woensdag","Donderdag"),"Niet ingepland")</f>
        <v>Dinsdag</v>
      </c>
    </row>
    <row r="37">
      <c r="B37" s="22" t="n">
        <v>32</v>
      </c>
      <c r="C37" s="22" t="inlineStr">
        <is>
          <t>Verknipt</t>
        </is>
      </c>
      <c r="D37" s="28" t="inlineStr">
        <is>
          <t>Friso</t>
        </is>
      </c>
      <c r="E37" s="34" t="inlineStr">
        <is>
          <t>Friso + Thierry</t>
        </is>
      </c>
      <c r="F37" s="22" t="n">
        <v>2</v>
      </c>
      <c r="G37" s="22" t="n"/>
      <c r="H37" s="22" t="n"/>
      <c r="I37" s="22" t="n"/>
      <c r="L37" s="22" t="n">
        <v>28</v>
      </c>
      <c r="M37" s="22" t="inlineStr">
        <is>
          <t>Tropikali</t>
        </is>
      </c>
      <c r="N37" s="28" t="inlineStr">
        <is>
          <t>Friso</t>
        </is>
      </c>
      <c r="O37" s="34" t="inlineStr">
        <is>
          <t>Friso + Thierry</t>
        </is>
      </c>
      <c r="P37" s="22" t="str">
        <f>IFERROR(CHOOSE(COUNTIF('Door2Door| Paylogic'!$A$1:INDEX('Door2Door| Paylogic'!$A$1:$A$84,MATCH(M37,'Door2Door| Paylogic'!$C$1:$C$84,0)),"DAG *"),"Dinsdag","Woensdag","Donderdag"),"Niet ingepland")</f>
        <v>Donderdag</v>
      </c>
    </row>
    <row r="38">
      <c r="B38" s="22" t="n">
        <v>33</v>
      </c>
      <c r="C38" s="22" t="inlineStr">
        <is>
          <t>8Ball</t>
        </is>
      </c>
      <c r="D38" s="28" t="inlineStr">
        <is>
          <t>Friso</t>
        </is>
      </c>
      <c r="E38" s="34" t="inlineStr">
        <is>
          <t>Friso + Thierry</t>
        </is>
      </c>
      <c r="F38" s="22" t="n">
        <v>2</v>
      </c>
      <c r="G38" s="22" t="n"/>
      <c r="H38" s="22" t="n"/>
      <c r="I38" s="22" t="n"/>
      <c r="L38" s="22" t="n">
        <v>30</v>
      </c>
      <c r="M38" s="22" t="inlineStr">
        <is>
          <t>Loveland</t>
        </is>
      </c>
      <c r="N38" s="28" t="inlineStr">
        <is>
          <t>Friso</t>
        </is>
      </c>
      <c r="O38" s="34" t="inlineStr">
        <is>
          <t>Friso + Thierry</t>
        </is>
      </c>
      <c r="P38" s="22" t="str">
        <f>IFERROR(CHOOSE(COUNTIF('Door2Door| Paylogic'!$A$1:INDEX('Door2Door| Paylogic'!$A$1:$A$84,MATCH(M38,'Door2Door| Paylogic'!$C$1:$C$84,0)),"DAG *"),"Dinsdag","Woensdag","Donderdag"),"Niet ingepland")</f>
        <v>Donderdag</v>
      </c>
    </row>
    <row r="39">
      <c r="B39" s="22" t="n">
        <v>34</v>
      </c>
      <c r="C39" s="22" t="inlineStr">
        <is>
          <t>Chasing the Hihat</t>
        </is>
      </c>
      <c r="D39" s="28" t="inlineStr">
        <is>
          <t>Friso</t>
        </is>
      </c>
      <c r="E39" s="34" t="inlineStr">
        <is>
          <t>Friso + Thierry</t>
        </is>
      </c>
      <c r="F39" s="22" t="n">
        <v>3</v>
      </c>
      <c r="G39" s="22" t="n"/>
      <c r="H39" s="22" t="n"/>
      <c r="I39" s="22" t="n"/>
      <c r="L39" s="22" t="n">
        <v>31</v>
      </c>
      <c r="M39" s="22" t="inlineStr">
        <is>
          <t>3X3 Basketbal</t>
        </is>
      </c>
      <c r="N39" s="28" t="inlineStr">
        <is>
          <t>Friso</t>
        </is>
      </c>
      <c r="O39" s="34" t="inlineStr">
        <is>
          <t>Friso + Thierry</t>
        </is>
      </c>
      <c r="P39" s="22" t="str">
        <f>IFERROR(CHOOSE(COUNTIF('Door2Door| Paylogic'!$A$1:INDEX('Door2Door| Paylogic'!$A$1:$A$84,MATCH(M39,'Door2Door| Paylogic'!$C$1:$C$84,0)),"DAG *"),"Dinsdag","Woensdag","Donderdag"),"Niet ingepland")</f>
        <v>Donderdag</v>
      </c>
    </row>
    <row r="40">
      <c r="B40" s="36" t="n">
        <v>35</v>
      </c>
      <c r="C40" s="38" t="inlineStr">
        <is>
          <t>Gashouder</t>
        </is>
      </c>
      <c r="D40" s="38" t="inlineStr">
        <is>
          <t>Yasmijn</t>
        </is>
      </c>
      <c r="E40" s="38" t="inlineStr">
        <is>
          <t>Friso + Thierry</t>
        </is>
      </c>
      <c r="F40" s="37" t="n">
        <v>3</v>
      </c>
      <c r="G40" s="22" t="n"/>
      <c r="H40" s="22" t="n"/>
      <c r="I40" s="22" t="n"/>
      <c r="L40" s="22" t="n">
        <v>32</v>
      </c>
      <c r="M40" s="22" t="inlineStr">
        <is>
          <t>Verknipt</t>
        </is>
      </c>
      <c r="N40" s="28" t="inlineStr">
        <is>
          <t>Friso</t>
        </is>
      </c>
      <c r="O40" s="34" t="inlineStr">
        <is>
          <t>Friso + Thierry</t>
        </is>
      </c>
      <c r="P40" s="22" t="str">
        <f>IFERROR(CHOOSE(COUNTIF('Door2Door| Paylogic'!$A$1:INDEX('Door2Door| Paylogic'!$A$1:$A$84,MATCH(M40,'Door2Door| Paylogic'!$C$1:$C$84,0)),"DAG *"),"Dinsdag","Woensdag","Donderdag"),"Niet ingepland")</f>
        <v>Donderdag</v>
      </c>
    </row>
    <row r="41">
      <c r="B41" s="22" t="n">
        <v>36</v>
      </c>
      <c r="C41" s="22" t="inlineStr">
        <is>
          <t>Thuishaven</t>
        </is>
      </c>
      <c r="D41" s="28" t="inlineStr">
        <is>
          <t>Friso</t>
        </is>
      </c>
      <c r="E41" s="34" t="inlineStr">
        <is>
          <t>Friso + Thierry</t>
        </is>
      </c>
      <c r="F41" s="22" t="n">
        <v>3</v>
      </c>
      <c r="G41" s="22" t="n"/>
      <c r="H41" s="22" t="n"/>
      <c r="I41" s="22" t="n"/>
      <c r="L41" s="22" t="n">
        <v>33</v>
      </c>
      <c r="M41" s="22" t="inlineStr">
        <is>
          <t>8Ball</t>
        </is>
      </c>
      <c r="N41" s="28" t="inlineStr">
        <is>
          <t>Friso</t>
        </is>
      </c>
      <c r="O41" s="34" t="inlineStr">
        <is>
          <t>Friso + Thierry</t>
        </is>
      </c>
      <c r="P41" s="22" t="str">
        <f>IFERROR(CHOOSE(COUNTIF('Door2Door| Paylogic'!$A$1:INDEX('Door2Door| Paylogic'!$A$1:$A$84,MATCH(M41,'Door2Door| Paylogic'!$C$1:$C$84,0)),"DAG *"),"Dinsdag","Woensdag","Donderdag"),"Niet ingepland")</f>
        <v>Donderdag</v>
      </c>
    </row>
    <row r="42">
      <c r="B42" s="22" t="n">
        <v>37</v>
      </c>
      <c r="C42" s="22" t="inlineStr">
        <is>
          <t>IsBurning</t>
        </is>
      </c>
      <c r="D42" s="28" t="inlineStr">
        <is>
          <t>Friso</t>
        </is>
      </c>
      <c r="E42" s="34" t="inlineStr">
        <is>
          <t>Friso + Thierry</t>
        </is>
      </c>
      <c r="F42" s="22" t="n">
        <v>3</v>
      </c>
      <c r="G42" s="22" t="n"/>
      <c r="H42" s="22" t="n"/>
      <c r="I42" s="22" t="n"/>
      <c r="L42" s="22" t="n">
        <v>34</v>
      </c>
      <c r="M42" s="22" t="inlineStr">
        <is>
          <t>Chasing the Hihat</t>
        </is>
      </c>
      <c r="N42" s="28" t="inlineStr">
        <is>
          <t>Friso</t>
        </is>
      </c>
      <c r="O42" s="34" t="inlineStr">
        <is>
          <t>Friso + Thierry</t>
        </is>
      </c>
      <c r="P42" s="22" t="str">
        <f>IFERROR(CHOOSE(COUNTIF('Door2Door| Paylogic'!$A$1:INDEX('Door2Door| Paylogic'!$A$1:$A$84,MATCH(M42,'Door2Door| Paylogic'!$C$1:$C$84,0)),"DAG *"),"Dinsdag","Woensdag","Donderdag"),"Niet ingepland")</f>
        <v>Dinsdag</v>
      </c>
    </row>
    <row r="43">
      <c r="B43" s="22" t="n">
        <v>38</v>
      </c>
      <c r="C43" s="39" t="inlineStr">
        <is>
          <t>Dfrnt Festival (Tapt)</t>
        </is>
      </c>
      <c r="D43" s="39" t="inlineStr">
        <is>
          <t>Yasmijn</t>
        </is>
      </c>
      <c r="E43" s="39" t="inlineStr">
        <is>
          <t>Friso + Thierry</t>
        </is>
      </c>
      <c r="F43" s="22" t="n">
        <v>3</v>
      </c>
      <c r="G43" s="22" t="n"/>
      <c r="H43" s="22" t="n"/>
      <c r="I43" s="22" t="n"/>
      <c r="L43" s="22" t="n">
        <v>36</v>
      </c>
      <c r="M43" s="22" t="inlineStr">
        <is>
          <t>Thuishaven</t>
        </is>
      </c>
      <c r="N43" s="28" t="inlineStr">
        <is>
          <t>Friso</t>
        </is>
      </c>
      <c r="O43" s="34" t="inlineStr">
        <is>
          <t>Friso + Thierry</t>
        </is>
      </c>
      <c r="P43" s="22" t="str">
        <f>IFERROR(CHOOSE(COUNTIF('Door2Door| Paylogic'!$A$1:INDEX('Door2Door| Paylogic'!$A$1:$A$84,MATCH(M43,'Door2Door| Paylogic'!$C$1:$C$84,0)),"DAG *"),"Dinsdag","Woensdag","Donderdag"),"Niet ingepland")</f>
        <v>Dinsdag</v>
      </c>
    </row>
    <row r="44">
      <c r="B44" s="22" t="n">
        <v>39</v>
      </c>
      <c r="C44" s="39" t="inlineStr">
        <is>
          <t>Lofi</t>
        </is>
      </c>
      <c r="D44" s="39" t="inlineStr">
        <is>
          <t>Yasmijn</t>
        </is>
      </c>
      <c r="E44" s="39" t="inlineStr">
        <is>
          <t>Friso + Thierry</t>
        </is>
      </c>
      <c r="F44" s="22" t="n">
        <v>3</v>
      </c>
      <c r="G44" s="22" t="n"/>
      <c r="H44" s="22" t="n"/>
      <c r="I44" s="22" t="n"/>
      <c r="L44" s="22" t="n">
        <v>37</v>
      </c>
      <c r="M44" s="22" t="inlineStr">
        <is>
          <t>IsBurning</t>
        </is>
      </c>
      <c r="N44" s="28" t="inlineStr">
        <is>
          <t>Friso</t>
        </is>
      </c>
      <c r="O44" s="34" t="inlineStr">
        <is>
          <t>Friso + Thierry</t>
        </is>
      </c>
      <c r="P44" s="22" t="str">
        <f>IFERROR(CHOOSE(COUNTIF('Door2Door| Paylogic'!$A$1:INDEX('Door2Door| Paylogic'!$A$1:$A$84,MATCH(M44,'Door2Door| Paylogic'!$C$1:$C$84,0)),"DAG *"),"Dinsdag","Woensdag","Donderdag"),"Niet ingepland")</f>
        <v>Dinsdag</v>
      </c>
    </row>
    <row r="45">
      <c r="B45" s="22" t="n">
        <v>40</v>
      </c>
      <c r="C45" s="22" t="inlineStr">
        <is>
          <t>VBX</t>
        </is>
      </c>
      <c r="D45" s="28" t="inlineStr">
        <is>
          <t>Friso</t>
        </is>
      </c>
      <c r="E45" s="34" t="inlineStr">
        <is>
          <t>Friso + Thierry</t>
        </is>
      </c>
      <c r="F45" s="22" t="n">
        <v>3</v>
      </c>
      <c r="G45" s="22" t="n"/>
      <c r="H45" s="22" t="n"/>
      <c r="I45" s="22" t="n"/>
      <c r="L45" s="22" t="n">
        <v>40</v>
      </c>
      <c r="M45" s="22" t="inlineStr">
        <is>
          <t>VBX</t>
        </is>
      </c>
      <c r="N45" s="28" t="inlineStr">
        <is>
          <t>Friso</t>
        </is>
      </c>
      <c r="O45" s="34" t="inlineStr">
        <is>
          <t>Friso + Thierry</t>
        </is>
      </c>
      <c r="P45" s="22" t="str">
        <f>IFERROR(CHOOSE(COUNTIF('Door2Door| Paylogic'!$A$1:INDEX('Door2Door| Paylogic'!$A$1:$A$84,MATCH(M45,'Door2Door| Paylogic'!$C$1:$C$84,0)),"DAG *"),"Dinsdag","Woensdag","Donderdag"),"Niet ingepland")</f>
        <v>Dinsdag</v>
      </c>
    </row>
    <row r="46">
      <c r="B46" s="22" t="n">
        <v>41</v>
      </c>
      <c r="C46" s="22" t="inlineStr">
        <is>
          <t>Making Waves</t>
        </is>
      </c>
      <c r="D46" s="32" t="inlineStr">
        <is>
          <t>Odin</t>
        </is>
      </c>
      <c r="E46" s="34" t="inlineStr">
        <is>
          <t>Friso + Thierry</t>
        </is>
      </c>
      <c r="F46" s="22" t="n">
        <v>3</v>
      </c>
      <c r="G46" s="22" t="n"/>
      <c r="H46" s="22" t="n"/>
      <c r="I46" s="22" t="n"/>
      <c r="L46" s="22" t="n">
        <v>41</v>
      </c>
      <c r="M46" s="22" t="inlineStr">
        <is>
          <t>Making Waves</t>
        </is>
      </c>
      <c r="N46" s="32" t="inlineStr">
        <is>
          <t>Odin</t>
        </is>
      </c>
      <c r="O46" s="34" t="inlineStr">
        <is>
          <t>Friso + Thierry</t>
        </is>
      </c>
      <c r="P46" s="22" t="str">
        <f>IFERROR(CHOOSE(COUNTIF('Door2Door| Paylogic'!$A$1:INDEX('Door2Door| Paylogic'!$A$1:$A$84,MATCH(M46,'Door2Door| Paylogic'!$C$1:$C$84,0)),"DAG *"),"Dinsdag","Woensdag","Donderdag"),"Niet ingepland")</f>
        <v>Dinsdag</v>
      </c>
    </row>
    <row r="47">
      <c r="B47" s="22" t="n">
        <v>42</v>
      </c>
      <c r="C47" s="22" t="inlineStr">
        <is>
          <t>Vault Sessions</t>
        </is>
      </c>
      <c r="D47" s="28" t="inlineStr">
        <is>
          <t>Friso</t>
        </is>
      </c>
      <c r="E47" s="34" t="inlineStr">
        <is>
          <t>Friso + Thierry</t>
        </is>
      </c>
      <c r="F47" s="22" t="n">
        <v>3</v>
      </c>
      <c r="G47" s="22" t="n"/>
      <c r="H47" s="22" t="n"/>
      <c r="I47" s="22" t="n"/>
      <c r="L47" s="22" t="n">
        <v>42</v>
      </c>
      <c r="M47" s="22" t="inlineStr">
        <is>
          <t>Vault Sessions</t>
        </is>
      </c>
      <c r="N47" s="28" t="inlineStr">
        <is>
          <t>Friso</t>
        </is>
      </c>
      <c r="O47" s="34" t="inlineStr">
        <is>
          <t>Friso + Thierry</t>
        </is>
      </c>
      <c r="P47" s="22" t="str">
        <f>IFERROR(CHOOSE(COUNTIF('Door2Door| Paylogic'!$A$1:INDEX('Door2Door| Paylogic'!$A$1:$A$84,MATCH(M47,'Door2Door| Paylogic'!$C$1:$C$84,0)),"DAG *"),"Dinsdag","Woensdag","Donderdag"),"Niet ingepland")</f>
        <v>Donderdag</v>
      </c>
    </row>
  </sheetData>
  <pageMargins left="0.7" right="0.7" top="0.75" bottom="0.75" header="0.3" footer="0.3"/>
</worksheet>
</file>

<file path=docMetadata/LabelInfo.xml><?xml version="1.0" encoding="utf-8"?>
<clbl:labelList xmlns:clbl="http://schemas.microsoft.com/office/2020/mipLabelMetadata">
  <clbl:label id="{8d48a09f-0f75-4c5f-9951-4d56bf086dc8}" enabled="0" method="" siteId="{8d48a09f-0f75-4c5f-9951-4d56bf086dc8}" removed="1"/>
</clbl:labelLis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2026-10-08T13:28:15Z</dcterms:created>
  <dcterms:modified xmlns:dcterms="http://purl.org/dc/terms/" xmlns:xsi="http://www.w3.org/2001/XMLSchema-instance" xsi:type="dcterms:W3CDTF">2026-10-12T15:26:40Z</dcterms:modified>
  <cp:lastModifiedBy>Beentjes, Thierry</cp:lastModifiedBy>
  <cp:revision>0</cp:revision>
</cp:coreProperties>
</file>
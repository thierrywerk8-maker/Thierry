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or2Door| Paylogic" sheetId="1" state="visible" r:id="rId3"/>
    <sheet name="Door2Door | Eventim (Light)" sheetId="2" state="visible" r:id="rId4"/>
    <sheet name="Leadlijst sheet. 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<sst xmlns="http://schemas.openxmlformats.org/spreadsheetml/2006/main" count="769" uniqueCount="206">
  <si>
    <t xml:space="preserve">ADE Door-to-Door | Paylogic | 2 teams x 3 dagen (di 13 t/m do 15 oktober)</t>
  </si>
  <si>
    <t xml:space="preserve">Start / eind</t>
  </si>
  <si>
    <t xml:space="preserve">Amsterdam Centraal</t>
  </si>
  <si>
    <t xml:space="preserve">Start 09:30</t>
  </si>
  <si>
    <t xml:space="preserve">Uiterlijk circa 17:30</t>
  </si>
  <si>
    <t xml:space="preserve">Bezoekduur</t>
  </si>
  <si>
    <t xml:space="preserve">20 minuten</t>
  </si>
  <si>
    <t xml:space="preserve">Lunch</t>
  </si>
  <si>
    <t xml:space="preserve">30 minuten, ingepland</t>
  </si>
  <si>
    <t xml:space="preserve">Routeplanning</t>
  </si>
  <si>
    <t xml:space="preserve">Indicatief: rijtijden handmatig geschat; geen live Maps-tijden</t>
  </si>
  <si>
    <t xml:space="preserve">Let op</t>
  </si>
  <si>
    <t xml:space="preserve">Dinsdag zit Friso van 12:45 tot 14:45 op kantoor (De Ruijterkade 113); de pauze van Friso + Thierry valt in dat blok. Milo rijdt dinsdag mee met Yasmijn + Steven, Cecil woensdag met Friso + Thierry (Ahoy-dag).</t>
  </si>
  <si>
    <t xml:space="preserve">Legenda</t>
  </si>
  <si>
    <t xml:space="preserve">Verschoven naar Yasmijn + Steven (was Friso + Thierry)</t>
  </si>
  <si>
    <t xml:space="preserve">Overgenomen van andere leadowner</t>
  </si>
  <si>
    <t xml:space="preserve">Te laat (na 17:30 terug / na 12:45 op kantoor)</t>
  </si>
  <si>
    <t xml:space="preserve">Blauwe tekst = invoer (vertrek kantoor)</t>
  </si>
  <si>
    <t xml:space="preserve">Team</t>
  </si>
  <si>
    <t xml:space="preserve">Dag</t>
  </si>
  <si>
    <t xml:space="preserve">Leads</t>
  </si>
  <si>
    <t xml:space="preserve">Eigen leads</t>
  </si>
  <si>
    <t xml:space="preserve">Overgenomen</t>
  </si>
  <si>
    <t xml:space="preserve">Rijtijd (min)</t>
  </si>
  <si>
    <t xml:space="preserve">Bezoektijd (min)</t>
  </si>
  <si>
    <t xml:space="preserve">Lunch (min)</t>
  </si>
  <si>
    <t xml:space="preserve">Terug ca.</t>
  </si>
  <si>
    <t xml:space="preserve">Binnen 17:30?</t>
  </si>
  <si>
    <t xml:space="preserve">Yasmijn + Steven + Milo</t>
  </si>
  <si>
    <t xml:space="preserve">Dinsdag</t>
  </si>
  <si>
    <t xml:space="preserve">Yasmijn + Steven</t>
  </si>
  <si>
    <t xml:space="preserve">Woensdag</t>
  </si>
  <si>
    <t xml:space="preserve">Donderdag</t>
  </si>
  <si>
    <t xml:space="preserve">Friso + Thierry</t>
  </si>
  <si>
    <t xml:space="preserve">Friso + Thierry + Cecil</t>
  </si>
  <si>
    <t xml:space="preserve">Totaal</t>
  </si>
  <si>
    <t xml:space="preserve">DAG 1  |  DINSDAG 13 OKTOBER  |  VERTREK 09:30  |  20 MINUTEN PER LEAD + 30 MIN LUNCH</t>
  </si>
  <si>
    <t xml:space="preserve">Stop</t>
  </si>
  <si>
    <t xml:space="preserve">Lead</t>
  </si>
  <si>
    <t xml:space="preserve">Leadowner</t>
  </si>
  <si>
    <t xml:space="preserve">Adres</t>
  </si>
  <si>
    <t xml:space="preserve">Plaats</t>
  </si>
  <si>
    <t xml:space="preserve">Rijtijd vanaf vorig (min)</t>
  </si>
  <si>
    <t xml:space="preserve">Aankomst</t>
  </si>
  <si>
    <t xml:space="preserve">Vertrek</t>
  </si>
  <si>
    <t xml:space="preserve">Opmerking</t>
  </si>
  <si>
    <t xml:space="preserve">Google Maps</t>
  </si>
  <si>
    <t xml:space="preserve">START</t>
  </si>
  <si>
    <t xml:space="preserve">Stationsplein, Amsterdam</t>
  </si>
  <si>
    <t xml:space="preserve">Amsterdam</t>
  </si>
  <si>
    <t xml:space="preserve">Per auto; rijtijden indicatief | Milo rijdt mee</t>
  </si>
  <si>
    <t xml:space="preserve">Intercell/ AFP</t>
  </si>
  <si>
    <t xml:space="preserve">Yasmijn</t>
  </si>
  <si>
    <t xml:space="preserve">Rokin 54 | 1012KV</t>
  </si>
  <si>
    <t xml:space="preserve">Eigen lead</t>
  </si>
  <si>
    <t xml:space="preserve">Open adres</t>
  </si>
  <si>
    <t xml:space="preserve">Jaarbeurs</t>
  </si>
  <si>
    <t xml:space="preserve">Thierry</t>
  </si>
  <si>
    <t xml:space="preserve">Jaarbeursplein 6 | 3521 AL</t>
  </si>
  <si>
    <t xml:space="preserve">Utrecht</t>
  </si>
  <si>
    <t xml:space="preserve">Overgenomen van Thierry</t>
  </si>
  <si>
    <t xml:space="preserve">Elevation Events</t>
  </si>
  <si>
    <t xml:space="preserve">Leidseweg 125 | 3533 HC</t>
  </si>
  <si>
    <t xml:space="preserve">Studio Linksvoor</t>
  </si>
  <si>
    <t xml:space="preserve">De Kolk 13 | 6541 AV</t>
  </si>
  <si>
    <t xml:space="preserve">Nijmegen</t>
  </si>
  <si>
    <t xml:space="preserve">Classified Events [Urgent]</t>
  </si>
  <si>
    <t xml:space="preserve">Oude Molenweg 112 | 6533WN</t>
  </si>
  <si>
    <t xml:space="preserve">Listen to Flow</t>
  </si>
  <si>
    <t xml:space="preserve">Roodwilligen 63 | 6903 TB</t>
  </si>
  <si>
    <t xml:space="preserve">Zevenaar</t>
  </si>
  <si>
    <t xml:space="preserve">ONA Groep</t>
  </si>
  <si>
    <t xml:space="preserve">Nijverheidsweg 16 | 3762 ER</t>
  </si>
  <si>
    <t xml:space="preserve">Soest</t>
  </si>
  <si>
    <t xml:space="preserve">Reggae Lake</t>
  </si>
  <si>
    <t xml:space="preserve">Friso</t>
  </si>
  <si>
    <t xml:space="preserve">Zeeburgerdijk 19B | 1093SK</t>
  </si>
  <si>
    <t xml:space="preserve">Overgenomen van Friso</t>
  </si>
  <si>
    <t xml:space="preserve">TERUG</t>
  </si>
  <si>
    <t xml:space="preserve">Stationsplein</t>
  </si>
  <si>
    <t xml:space="preserve">Per auto; rijtijden indicatief</t>
  </si>
  <si>
    <t xml:space="preserve">Making Waves</t>
  </si>
  <si>
    <t xml:space="preserve">Odin</t>
  </si>
  <si>
    <t xml:space="preserve">Doctor Jan van Breemenstraat 1 | 1056 Ab</t>
  </si>
  <si>
    <t xml:space="preserve">Overgenomen van Odin</t>
  </si>
  <si>
    <t xml:space="preserve">VBX</t>
  </si>
  <si>
    <t xml:space="preserve">Krelis Louwenstraat 1 | 1055 KA</t>
  </si>
  <si>
    <t xml:space="preserve">Thuishaven</t>
  </si>
  <si>
    <t xml:space="preserve">Contactweg 68 | 1014 BW</t>
  </si>
  <si>
    <t xml:space="preserve">IsBurning</t>
  </si>
  <si>
    <t xml:space="preserve">Elementenstraat 25 | 1014 AS</t>
  </si>
  <si>
    <t xml:space="preserve">Chasing the Hihat</t>
  </si>
  <si>
    <t xml:space="preserve">Danzigerbocht 21 | 1013 AM</t>
  </si>
  <si>
    <t xml:space="preserve">KANTOOR</t>
  </si>
  <si>
    <t xml:space="preserve">Paylogic kantoor | Friso afzetten en ophalen</t>
  </si>
  <si>
    <t xml:space="preserve">De Ruijterkade 113</t>
  </si>
  <si>
    <t xml:space="preserve">Meeting Friso 12:45-14:45, pauze in dit blok. Uitloop? Pas vertrektijd (blauw) aan.</t>
  </si>
  <si>
    <t xml:space="preserve">Studio Wieman</t>
  </si>
  <si>
    <t xml:space="preserve">Papaverweg 14 | 1032 KH</t>
  </si>
  <si>
    <t xml:space="preserve">ingang / no clubs</t>
  </si>
  <si>
    <t xml:space="preserve">Gedempt Hamerkanaal 86 | 1021 KR</t>
  </si>
  <si>
    <t xml:space="preserve">A Venue</t>
  </si>
  <si>
    <t xml:space="preserve">Keizersgracht 618 | 1017 ER</t>
  </si>
  <si>
    <t xml:space="preserve">Melkweg</t>
  </si>
  <si>
    <t xml:space="preserve">Lijnbaansgracht 234A | 1017 PH</t>
  </si>
  <si>
    <t xml:space="preserve">DAG 2  |  WOENSDAG 14 OKTOBER  |  VERTREK 09:30  |  20 MINUTEN PER LEAD + 30 MIN LUNCH</t>
  </si>
  <si>
    <t xml:space="preserve">Gashouder</t>
  </si>
  <si>
    <t xml:space="preserve">Polonceaukade 9 | 1014 DA</t>
  </si>
  <si>
    <t xml:space="preserve">Eigen lead (was Friso + Thierry)</t>
  </si>
  <si>
    <t xml:space="preserve">Dfrnt Festival (Tapt)</t>
  </si>
  <si>
    <t xml:space="preserve">Dukdalfweg 38 | 1041 BE</t>
  </si>
  <si>
    <t xml:space="preserve">Lofi</t>
  </si>
  <si>
    <t xml:space="preserve">Basisweg 63 | 1043 AN</t>
  </si>
  <si>
    <t xml:space="preserve">Kaleidoscope</t>
  </si>
  <si>
    <t xml:space="preserve">Helsinkistraat 6 | 9723 BD</t>
  </si>
  <si>
    <t xml:space="preserve">Groningen</t>
  </si>
  <si>
    <t xml:space="preserve">Paradigm</t>
  </si>
  <si>
    <t xml:space="preserve">Energieweg 10 | 9743 AN</t>
  </si>
  <si>
    <t xml:space="preserve">Sunsplash</t>
  </si>
  <si>
    <t xml:space="preserve">Tondenpad 9 | 1107PL</t>
  </si>
  <si>
    <t xml:space="preserve">Per auto; rijtijden indicatief | Cecil rijdt mee</t>
  </si>
  <si>
    <t xml:space="preserve">Cinema Culinair</t>
  </si>
  <si>
    <t xml:space="preserve">Keilestraat 9F | 3029 BP</t>
  </si>
  <si>
    <t xml:space="preserve">Rotterdam</t>
  </si>
  <si>
    <t xml:space="preserve">Overgenomen van Yasmijn</t>
  </si>
  <si>
    <t xml:space="preserve">Give Soul</t>
  </si>
  <si>
    <t xml:space="preserve">Eendrachtsweg 42 | 3012 LD</t>
  </si>
  <si>
    <t xml:space="preserve">CUBE</t>
  </si>
  <si>
    <t xml:space="preserve">Slepersvest 1 | 3011 ML</t>
  </si>
  <si>
    <t xml:space="preserve">Ahoy Rotterdam</t>
  </si>
  <si>
    <t xml:space="preserve">Ahoyweg 10 | 3084 BD</t>
  </si>
  <si>
    <t xml:space="preserve">The Zoo</t>
  </si>
  <si>
    <t xml:space="preserve">Boonsweg 10 | 274 LH</t>
  </si>
  <si>
    <t xml:space="preserve">Heinenoord</t>
  </si>
  <si>
    <t xml:space="preserve">Vivre Productions</t>
  </si>
  <si>
    <t xml:space="preserve">Hoofdweg-Noord 9K | 2913 LB</t>
  </si>
  <si>
    <t xml:space="preserve">Nieuwekerk ad IJssel</t>
  </si>
  <si>
    <t xml:space="preserve">White House Scheveningen</t>
  </si>
  <si>
    <t xml:space="preserve">Strandweg 180 | 2586 JM</t>
  </si>
  <si>
    <t xml:space="preserve">Den Haag</t>
  </si>
  <si>
    <t xml:space="preserve">DAG 3  |  DONDERDAG 15 OKTOBER  |  VERTREK 09:30  |  20 MINUTEN PER LEAD + 30 MIN LUNCH</t>
  </si>
  <si>
    <t xml:space="preserve">Muze Misse</t>
  </si>
  <si>
    <t xml:space="preserve">Sint Sebastiaanstraat 57 | 5341 LG</t>
  </si>
  <si>
    <t xml:space="preserve">Oss</t>
  </si>
  <si>
    <t xml:space="preserve">Par-t</t>
  </si>
  <si>
    <t xml:space="preserve">Bussele 17 | 5469 DT</t>
  </si>
  <si>
    <t xml:space="preserve">Erp/Veghel</t>
  </si>
  <si>
    <t xml:space="preserve">Minority Events</t>
  </si>
  <si>
    <t xml:space="preserve">Dragonder 49J | 5555 XZ</t>
  </si>
  <si>
    <t xml:space="preserve">Valkenswaard</t>
  </si>
  <si>
    <t xml:space="preserve">Volt</t>
  </si>
  <si>
    <t xml:space="preserve">Odasingel 88 | 6131 GZ</t>
  </si>
  <si>
    <t xml:space="preserve">Sittard</t>
  </si>
  <si>
    <t xml:space="preserve">8Ball</t>
  </si>
  <si>
    <t xml:space="preserve">’s Gravelandseweg 80 | 1217EW</t>
  </si>
  <si>
    <t xml:space="preserve">Hilversum</t>
  </si>
  <si>
    <t xml:space="preserve">Verknipt</t>
  </si>
  <si>
    <t xml:space="preserve">Gein Zuid 9 | 1391 GT</t>
  </si>
  <si>
    <t xml:space="preserve">Abcoude</t>
  </si>
  <si>
    <t xml:space="preserve">3X3 Basketbal</t>
  </si>
  <si>
    <t xml:space="preserve">Keienbergweg 93 | 1101 GE</t>
  </si>
  <si>
    <t xml:space="preserve">Loveland</t>
  </si>
  <si>
    <t xml:space="preserve">Helicopterstraat 25L | 1059 CE</t>
  </si>
  <si>
    <t xml:space="preserve">Vault Sessions</t>
  </si>
  <si>
    <t xml:space="preserve">Weerenweg 13 unit A | 1161 AE</t>
  </si>
  <si>
    <t xml:space="preserve">Zwanenburg</t>
  </si>
  <si>
    <t xml:space="preserve">Tropikali</t>
  </si>
  <si>
    <t xml:space="preserve">Prinsengracht 754-3 | 1017 LD</t>
  </si>
  <si>
    <t xml:space="preserve">VERSCHOVEN NAAR YASMIJN + STEVEN | donkergroen in de Leadlijst</t>
  </si>
  <si>
    <t xml:space="preserve">Nieuw team</t>
  </si>
  <si>
    <t xml:space="preserve">Status</t>
  </si>
  <si>
    <t xml:space="preserve">Toelichting</t>
  </si>
  <si>
    <t xml:space="preserve">Eigen lead van Yasmijn</t>
  </si>
  <si>
    <t xml:space="preserve">Audio Obscura</t>
  </si>
  <si>
    <t xml:space="preserve">Past evt. bij Friso + Thierry op donderdag (terug dan ca. 15:15)</t>
  </si>
  <si>
    <t xml:space="preserve">Paard</t>
  </si>
  <si>
    <t xml:space="preserve">Past evt. bij Friso + Thierry op woensdag, Rotterdam-dag (terug dan ca. 17:15)</t>
  </si>
  <si>
    <t xml:space="preserve">AANDACHTSPUNTEN</t>
  </si>
  <si>
    <t xml:space="preserve">Audio Obscura + Paard</t>
  </si>
  <si>
    <t xml:space="preserve">Niet ingepland: Yasmijn kijkt zelf of ze deze op een andere dag kan doen. Als Friso + Thierry ze toch meenemen: Audio Obscura past donderdag (terug ca. 15:15), Paard past woensdag op de Rotterdam-dag (terug ca. 17:15).</t>
  </si>
  <si>
    <t xml:space="preserve">Friso + Thierry, dinsdag</t>
  </si>
  <si>
    <t xml:space="preserve">Friso is om ca. 12:25 op kantoor (uiterlijk 12:45). Vertrek kantoor staat op 14:45 (blauwe cel): loopt de meeting uit, pas die tijd aan en de middag schuift mee. Bij 30 min uitloop terug ca. 17:32. Lukt een lead niet, dan kan die donderdag nog (die dag is om ca. 14:52 klaar).</t>
  </si>
  <si>
    <t xml:space="preserve">Yasmijn + Steven, woensdag</t>
  </si>
  <si>
    <t xml:space="preserve">Terug ca. 17:30, geen speling: twee keer ca. 2 uur rijden (Amsterdam-Groningen en terug via Zuidoost).</t>
  </si>
  <si>
    <t xml:space="preserve">Classified Events</t>
  </si>
  <si>
    <t xml:space="preserve">Staat als [Urgent] op dinsdag, de eerste dag.</t>
  </si>
  <si>
    <t xml:space="preserve">Leadowner Thierry (dubbel met Poppodium Volt), bezoek door Yasmijn + Steven op donderdag.</t>
  </si>
  <si>
    <t xml:space="preserve">Woodstock</t>
  </si>
  <si>
    <t xml:space="preserve">Vervalt; niet meer ingepland.</t>
  </si>
  <si>
    <t xml:space="preserve">Postcode staat als '274 LH'. Waarschijnlijk is dat 3274 LH (Heinenoord); graag controleren.</t>
  </si>
  <si>
    <t xml:space="preserve">Rijtijden</t>
  </si>
  <si>
    <t xml:space="preserve">Trajecten uit de eerdere planning houden hun rijtijd. Nieuwe trajecten zijn geschat (geen live Maps); de heenrit naar Rotterdam is in de ochtendspits op 70 min gezet. Parkeren en spits kunnen afwijken.</t>
  </si>
  <si>
    <t xml:space="preserve">Toekomst Muziek B.V.</t>
  </si>
  <si>
    <t xml:space="preserve">Bas</t>
  </si>
  <si>
    <t xml:space="preserve">Torpedotheater</t>
  </si>
  <si>
    <t xml:space="preserve">Bijlmerbios Openluchtbioscoop</t>
  </si>
  <si>
    <t xml:space="preserve">Emiel</t>
  </si>
  <si>
    <t xml:space="preserve">Theater 't Kapelletje</t>
  </si>
  <si>
    <t xml:space="preserve">Bloemencorso</t>
  </si>
  <si>
    <t xml:space="preserve">Supper Club</t>
  </si>
  <si>
    <t xml:space="preserve">ADE Door-to-Door | Leadoverzicht P-Logic</t>
  </si>
  <si>
    <t xml:space="preserve"> </t>
  </si>
  <si>
    <t xml:space="preserve">Team en Dag komen automatisch uit het tabblad 'Planning 2 teams'. Poppodium Volt is weggelaten (dubbel met Volt).</t>
  </si>
  <si>
    <t xml:space="preserve">#</t>
  </si>
  <si>
    <t xml:space="preserve">Milo dinsdag</t>
  </si>
  <si>
    <t xml:space="preserve">Cecil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</si>
</sst>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:mm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b val="true"/>
      <sz val="11"/>
      <color rgb="FF0000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u val="single"/>
      <sz val="11"/>
      <color rgb="FF087E68"/>
      <name val="Calibri"/>
      <family val="0"/>
      <charset val="1"/>
    </font>
    <font>
      <sz val="14"/>
      <color theme="1"/>
      <name val="Roboto"/>
      <family val="0"/>
      <charset val="1"/>
    </font>
    <font>
      <b val="true"/>
      <sz val="14"/>
      <color rgb="FFFFFFFF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color theme="1"/>
      <name val="Arial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11"/>
      <name val="Calibri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17243A"/>
        <bgColor rgb="FF003366"/>
      </patternFill>
    </fill>
    <fill>
      <patternFill patternType="solid">
        <fgColor rgb="FFE2EFDA"/>
        <bgColor rgb="FFD9EAD3"/>
      </patternFill>
    </fill>
    <fill>
      <patternFill patternType="solid">
        <fgColor rgb="FFFFF0CE"/>
        <bgColor rgb="FFFDEADA"/>
      </patternFill>
    </fill>
    <fill>
      <patternFill patternType="solid">
        <fgColor rgb="FFFFC7CE"/>
        <bgColor rgb="FFF4CCCC"/>
      </patternFill>
    </fill>
    <fill>
      <patternFill patternType="solid">
        <fgColor rgb="FF244466"/>
        <bgColor rgb="FF003366"/>
      </patternFill>
    </fill>
    <fill>
      <patternFill patternType="solid">
        <fgColor rgb="FFE8EFF5"/>
        <bgColor rgb="FFDDEBF7"/>
      </patternFill>
    </fill>
    <fill>
      <patternFill patternType="solid">
        <fgColor rgb="FFDDEBF7"/>
        <bgColor rgb="FFE8EFF5"/>
      </patternFill>
    </fill>
    <fill>
      <patternFill patternType="solid">
        <fgColor rgb="FFD9EAD3"/>
        <bgColor rgb="FFE2EFDA"/>
      </patternFill>
    </fill>
    <fill>
      <patternFill patternType="solid">
        <fgColor theme="9" tint="0.7999"/>
        <bgColor rgb="FFFCE5CD"/>
      </patternFill>
    </fill>
    <fill>
      <patternFill patternType="solid">
        <fgColor rgb="FFF4CCCC"/>
        <bgColor rgb="FFFFC7CE"/>
      </patternFill>
    </fill>
    <fill>
      <patternFill patternType="solid">
        <fgColor rgb="FFCFE2F3"/>
        <bgColor rgb="FFDDEBF7"/>
      </patternFill>
    </fill>
    <fill>
      <patternFill patternType="solid">
        <fgColor rgb="FFFCE5CD"/>
        <bgColor rgb="FFFDEADA"/>
      </patternFill>
    </fill>
    <fill>
      <patternFill patternType="solid">
        <fgColor theme="5" tint="0.7999"/>
        <bgColor rgb="FFFCE5CD"/>
      </patternFill>
    </fill>
    <fill>
      <patternFill patternType="solid">
        <fgColor theme="2" tint="-0.1"/>
        <bgColor rgb="FFCCCC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/>
      <top style="thin">
        <color rgb="FFCCCCCC"/>
      </top>
      <bottom style="thin">
        <color rgb="FFCCCCCC"/>
      </bottom>
      <diagonal/>
    </border>
    <border diagonalUp="false" diagonalDown="false">
      <left/>
      <right/>
      <top style="thin">
        <color theme="6"/>
      </top>
      <bottom style="thin">
        <color theme="6"/>
      </bottom>
      <diagonal/>
    </border>
    <border diagonalUp="false" diagonalDown="false">
      <left/>
      <right style="thin">
        <color theme="6"/>
      </right>
      <top style="thin">
        <color theme="6"/>
      </top>
      <bottom style="thin">
        <color theme="6"/>
      </bottom>
      <diagonal/>
    </border>
    <border diagonalUp="false" diagonalDown="false">
      <left style="thin">
        <color theme="6"/>
      </left>
      <right/>
      <top style="thin">
        <color theme="6"/>
      </top>
      <bottom style="thin">
        <color theme="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8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 readingOrder="1"/>
      <protection locked="true" hidden="false"/>
    </xf>
    <xf numFmtId="164" fontId="1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1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DEADA"/>
      <rgbColor rgb="FFFF00FF"/>
      <rgbColor rgb="FF00FFFF"/>
      <rgbColor rgb="FF9C0006"/>
      <rgbColor rgb="FF006100"/>
      <rgbColor rgb="FF000080"/>
      <rgbColor rgb="FF808000"/>
      <rgbColor rgb="FF800080"/>
      <rgbColor rgb="FF087E68"/>
      <rgbColor rgb="FFCCCCCC"/>
      <rgbColor rgb="FF808080"/>
      <rgbColor rgb="FFD9EAD3"/>
      <rgbColor rgb="FF993366"/>
      <rgbColor rgb="FFFFF0CE"/>
      <rgbColor rgb="FFDDEBF7"/>
      <rgbColor rgb="FF660066"/>
      <rgbColor rgb="FFFF8080"/>
      <rgbColor rgb="FF0066CC"/>
      <rgbColor rgb="FFCFE2F3"/>
      <rgbColor rgb="FF000080"/>
      <rgbColor rgb="FFFF00FF"/>
      <rgbColor rgb="FFE2EFDA"/>
      <rgbColor rgb="FF00FFFF"/>
      <rgbColor rgb="FF800080"/>
      <rgbColor rgb="FF800000"/>
      <rgbColor rgb="FF008080"/>
      <rgbColor rgb="FF0000FF"/>
      <rgbColor rgb="FF00CCFF"/>
      <rgbColor rgb="FFE8EFF5"/>
      <rgbColor rgb="FFC6EFCE"/>
      <rgbColor rgb="FFFCE5CD"/>
      <rgbColor rgb="FFDDD9C3"/>
      <rgbColor rgb="FFFFC7CE"/>
      <rgbColor rgb="FFF2DCDB"/>
      <rgbColor rgb="FFF4CCCC"/>
      <rgbColor rgb="FF3366FF"/>
      <rgbColor rgb="FF33CCCC"/>
      <rgbColor rgb="FF9BBB59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44466"/>
      <rgbColor rgb="FF1724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google.com/maps/search/?api=1&amp;query=Rokin%2054%2C%201012KV%2C%20Amsterdam%20Netherlands" TargetMode="External"/><Relationship Id="rId2" Type="http://schemas.openxmlformats.org/officeDocument/2006/relationships/hyperlink" Target="https://www.google.com/maps/search/?api=1&amp;query=Jaarbeursplein%206%2C%203521%20AL%2C%20Utrecht%20Netherlands" TargetMode="External"/><Relationship Id="rId3" Type="http://schemas.openxmlformats.org/officeDocument/2006/relationships/hyperlink" Target="https://www.google.com/maps/search/?api=1&amp;query=Leidseweg%20125%2C%203533%20HC%2C%20Utrecht%20Netherlands" TargetMode="External"/><Relationship Id="rId4" Type="http://schemas.openxmlformats.org/officeDocument/2006/relationships/hyperlink" Target="https://www.google.com/maps/search/?api=1&amp;query=De%20Kolk%2013%2C%206541%20AV%2C%20Nijmegen%20Netherlands" TargetMode="External"/><Relationship Id="rId5" Type="http://schemas.openxmlformats.org/officeDocument/2006/relationships/hyperlink" Target="https://www.google.com/maps/search/?api=1&amp;query=Oude%20Molenweg%20112%2C%206533WN%2C%20Nijmegen%20Netherlands" TargetMode="External"/><Relationship Id="rId6" Type="http://schemas.openxmlformats.org/officeDocument/2006/relationships/hyperlink" Target="https://www.google.com/maps/search/?api=1&amp;query=Roodwilligen%2063%2C%206903%20TB%2C%20Zevenaar%20Netherlands" TargetMode="External"/><Relationship Id="rId7" Type="http://schemas.openxmlformats.org/officeDocument/2006/relationships/hyperlink" Target="https://www.google.com/maps/search/?api=1&amp;query=Nijverheidsweg%2016%2C%203762%20ER%2C%20Soest%20Netherlands" TargetMode="External"/><Relationship Id="rId8" Type="http://schemas.openxmlformats.org/officeDocument/2006/relationships/hyperlink" Target="https://www.google.com/maps/search/?api=1&amp;query=Zeeburgerdijk%2019B%2C%201093SK%2C%20Amsterdam%20Netherlands" TargetMode="External"/><Relationship Id="rId9" Type="http://schemas.openxmlformats.org/officeDocument/2006/relationships/hyperlink" Target="https://www.google.com/maps/search/?api=1&amp;query=Doctor%20Jan%20van%20Breemenstraat%201%2C%201056%20Ab%2C%20Amsterdam%20Netherlands" TargetMode="External"/><Relationship Id="rId10" Type="http://schemas.openxmlformats.org/officeDocument/2006/relationships/hyperlink" Target="https://www.google.com/maps/search/?api=1&amp;query=Krelis%20Louwenstraat%201%2C%201055%20KA%2C%20Amsterdam%20Netherlands" TargetMode="External"/><Relationship Id="rId11" Type="http://schemas.openxmlformats.org/officeDocument/2006/relationships/hyperlink" Target="https://www.google.com/maps/search/?api=1&amp;query=Contactweg%2068%2C%201014%20BW%2C%20Amsterdam%20Netherlands" TargetMode="External"/><Relationship Id="rId12" Type="http://schemas.openxmlformats.org/officeDocument/2006/relationships/hyperlink" Target="https://www.google.com/maps/search/?api=1&amp;query=Elementenstraat%2025%2C%201014%20AS%2C%20Amsterdam%20Netherlands" TargetMode="External"/><Relationship Id="rId13" Type="http://schemas.openxmlformats.org/officeDocument/2006/relationships/hyperlink" Target="https://www.google.com/maps/search/?api=1&amp;query=Danzigerbocht%2021%2C%201013%20AM%2C%20Amsterdam%20Netherlands" TargetMode="External"/><Relationship Id="rId14" Type="http://schemas.openxmlformats.org/officeDocument/2006/relationships/hyperlink" Target="https://www.google.com/maps/search/?api=1&amp;query=De%20Ruijterkade%20113%2C%20Amsterdam%20Netherlands" TargetMode="External"/><Relationship Id="rId15" Type="http://schemas.openxmlformats.org/officeDocument/2006/relationships/hyperlink" Target="https://www.google.com/maps/search/?api=1&amp;query=Papaverweg%2014%2C%201032%20KH%2C%20Amsterdam%20Netherlands" TargetMode="External"/><Relationship Id="rId16" Type="http://schemas.openxmlformats.org/officeDocument/2006/relationships/hyperlink" Target="https://www.google.com/maps/search/?api=1&amp;query=Gedempt%20Hamerkanaal%2086%2C%201021%20KR%2C%20Amsterdam%20Netherlands" TargetMode="External"/><Relationship Id="rId17" Type="http://schemas.openxmlformats.org/officeDocument/2006/relationships/hyperlink" Target="https://www.google.com/maps/search/?api=1&amp;query=Keizersgracht%20618%2C%201017%20ER%2C%20Amsterdam%20Netherlands" TargetMode="External"/><Relationship Id="rId18" Type="http://schemas.openxmlformats.org/officeDocument/2006/relationships/hyperlink" Target="https://www.google.com/maps/search/?api=1&amp;query=Lijnbaansgracht%20234A%2C%201017%20PH%2C%20Amsterdam%20Netherlands" TargetMode="External"/><Relationship Id="rId19" Type="http://schemas.openxmlformats.org/officeDocument/2006/relationships/hyperlink" Target="https://www.google.com/maps/search/?api=1&amp;query=Polonceaukade%209%2C%201014%20DA%2C%20Amsterdam%20Netherlands" TargetMode="External"/><Relationship Id="rId20" Type="http://schemas.openxmlformats.org/officeDocument/2006/relationships/hyperlink" Target="https://www.google.com/maps/search/?api=1&amp;query=Dukdalfweg%2038%2C%201041%20BE%2C%20Amsterdam%20Netherlands" TargetMode="External"/><Relationship Id="rId21" Type="http://schemas.openxmlformats.org/officeDocument/2006/relationships/hyperlink" Target="https://www.google.com/maps/search/?api=1&amp;query=Basisweg%2063%2C%201043%20AN%2C%20Amsterdam%20Netherlands" TargetMode="External"/><Relationship Id="rId22" Type="http://schemas.openxmlformats.org/officeDocument/2006/relationships/hyperlink" Target="https://www.google.com/maps/search/?api=1&amp;query=Helsinkistraat%206%2C%209723%20BD%2C%20Groningen%20Netherlands" TargetMode="External"/><Relationship Id="rId23" Type="http://schemas.openxmlformats.org/officeDocument/2006/relationships/hyperlink" Target="https://www.google.com/maps/search/?api=1&amp;query=Energieweg%2010%2C%209743%20AN%2C%20Groningen%20Netherlands" TargetMode="External"/><Relationship Id="rId24" Type="http://schemas.openxmlformats.org/officeDocument/2006/relationships/hyperlink" Target="https://www.google.com/maps/search/?api=1&amp;query=Tondenpad%209%2C%201107PL%2C%20Amsterdam%20Netherlands" TargetMode="External"/><Relationship Id="rId25" Type="http://schemas.openxmlformats.org/officeDocument/2006/relationships/hyperlink" Target="https://www.google.com/maps/search/?api=1&amp;query=Keilestraat%209F%2C%203029%20BP%2C%20Rotterdam%20Netherlands" TargetMode="External"/><Relationship Id="rId26" Type="http://schemas.openxmlformats.org/officeDocument/2006/relationships/hyperlink" Target="https://www.google.com/maps/search/?api=1&amp;query=Eendrachtsweg%2042%2C%203012%20LD%2C%20Rotterdam%20Netherlands" TargetMode="External"/><Relationship Id="rId27" Type="http://schemas.openxmlformats.org/officeDocument/2006/relationships/hyperlink" Target="https://www.google.com/maps/search/?api=1&amp;query=Slepersvest%201%2C%203011%20ML%2C%20Rotterdam%20Netherlands" TargetMode="External"/><Relationship Id="rId28" Type="http://schemas.openxmlformats.org/officeDocument/2006/relationships/hyperlink" Target="https://www.google.com/maps/search/?api=1&amp;query=Ahoyweg%2010%2C%203084%20BD%2C%20Rotterdam%20Netherlands" TargetMode="External"/><Relationship Id="rId29" Type="http://schemas.openxmlformats.org/officeDocument/2006/relationships/hyperlink" Target="https://www.google.com/maps/search/?api=1&amp;query=Boonsweg%2010%2C%20274%20LH%2C%20Heinenoord%20Netherlands" TargetMode="External"/><Relationship Id="rId30" Type="http://schemas.openxmlformats.org/officeDocument/2006/relationships/hyperlink" Target="https://www.google.com/maps/search/?api=1&amp;query=Hoofdweg-Noord%209K%2C%202913%20LB%2C%20Nieuwekerk%20ad%20IJssel%20Netherlands" TargetMode="External"/><Relationship Id="rId31" Type="http://schemas.openxmlformats.org/officeDocument/2006/relationships/hyperlink" Target="https://www.google.com/maps/search/?api=1&amp;query=Strandweg%20180%2C%202586%20JM%2C%20Den%20Haag%20Netherlands" TargetMode="External"/><Relationship Id="rId32" Type="http://schemas.openxmlformats.org/officeDocument/2006/relationships/hyperlink" Target="https://www.google.com/maps/search/?api=1&amp;query=Sint%20Sebastiaanstraat%2057%2C%205341%20LG%2C%20Oss%20Netherlands" TargetMode="External"/><Relationship Id="rId33" Type="http://schemas.openxmlformats.org/officeDocument/2006/relationships/hyperlink" Target="https://www.google.com/maps/search/?api=1&amp;query=Bussele%2017%2C%205469%20DT%2C%20Erp/Veghel%20Netherlands" TargetMode="External"/><Relationship Id="rId34" Type="http://schemas.openxmlformats.org/officeDocument/2006/relationships/hyperlink" Target="https://www.google.com/maps/search/?api=1&amp;query=Dragonder%2049J%2C%205555%20XZ%2C%20Valkenswaard%20Netherlands" TargetMode="External"/><Relationship Id="rId35" Type="http://schemas.openxmlformats.org/officeDocument/2006/relationships/hyperlink" Target="https://www.google.com/maps/search/?api=1&amp;query=Odasingel%2088%2C%206131%20GZ%2C%20Sittard%20Netherlands" TargetMode="External"/><Relationship Id="rId36" Type="http://schemas.openxmlformats.org/officeDocument/2006/relationships/hyperlink" Target="https://www.google.com/maps/search/?api=1&amp;query=&#8217;s%20Gravelandseweg%2080%2C%201217EW%2C%20Hilversum%20Netherlands" TargetMode="External"/><Relationship Id="rId37" Type="http://schemas.openxmlformats.org/officeDocument/2006/relationships/hyperlink" Target="https://www.google.com/maps/search/?api=1&amp;query=Gein%20Zuid%209%2C%201391%20GT%2C%20Abcoude%20Netherlands" TargetMode="External"/><Relationship Id="rId38" Type="http://schemas.openxmlformats.org/officeDocument/2006/relationships/hyperlink" Target="https://www.google.com/maps/search/?api=1&amp;query=Keienbergweg%2093%2C%201101%20GE%2C%20Amsterdam%20Netherlands" TargetMode="External"/><Relationship Id="rId39" Type="http://schemas.openxmlformats.org/officeDocument/2006/relationships/hyperlink" Target="https://www.google.com/maps/search/?api=1&amp;query=Helicopterstraat%2025L%2C%201059%20CE%2C%20Amsterdam%20Netherlands" TargetMode="External"/><Relationship Id="rId40" Type="http://schemas.openxmlformats.org/officeDocument/2006/relationships/hyperlink" Target="https://www.google.com/maps/search/?api=1&amp;query=Weerenweg%2013%20unit%20A%2C%201161%20AE%2C%20Zwanenburg%20Netherlands" TargetMode="External"/><Relationship Id="rId41" Type="http://schemas.openxmlformats.org/officeDocument/2006/relationships/hyperlink" Target="https://www.google.com/maps/search/?api=1&amp;query=Prinsengracht%20754-3%2C%201017%20LD%2C%20Amsterdam%20Netherland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44466"/>
    <pageSetUpPr fitToPage="false"/>
  </sheetPr>
  <dimension ref="A1:K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36"/>
    <col collapsed="false" customWidth="true" hidden="false" outlineLevel="0" max="4" min="4" style="0" width="15"/>
    <col collapsed="false" customWidth="true" hidden="false" outlineLevel="0" max="5" min="5" style="0" width="46"/>
    <col collapsed="false" customWidth="true" hidden="false" outlineLevel="0" max="6" min="6" style="0" width="24"/>
    <col collapsed="false" customWidth="true" hidden="false" outlineLevel="0" max="7" min="7" style="0" width="19"/>
    <col collapsed="false" customWidth="true" hidden="false" outlineLevel="0" max="9" min="8" style="0" width="14"/>
    <col collapsed="false" customWidth="true" hidden="false" outlineLevel="0" max="10" min="10" style="0" width="46"/>
    <col collapsed="false" customWidth="true" hidden="false" outlineLevel="0" max="11" min="11" style="0" width="18"/>
  </cols>
  <sheetData>
    <row r="1" customFormat="false" ht="18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</row>
    <row r="3" customFormat="false" ht="15" hidden="false" customHeight="false" outlineLevel="0" collapsed="false">
      <c r="A3" s="0" t="s">
        <v>5</v>
      </c>
      <c r="B3" s="0" t="s">
        <v>6</v>
      </c>
      <c r="C3" s="0" t="s">
        <v>7</v>
      </c>
      <c r="D3" s="0" t="s">
        <v>8</v>
      </c>
    </row>
    <row r="4" customFormat="false" ht="15" hidden="false" customHeight="false" outlineLevel="0" collapsed="false">
      <c r="A4" s="0" t="s">
        <v>9</v>
      </c>
      <c r="B4" s="0" t="s">
        <v>10</v>
      </c>
    </row>
    <row r="5" customFormat="false" ht="15" hidden="false" customHeight="false" outlineLevel="0" collapsed="false">
      <c r="A5" s="0" t="s">
        <v>11</v>
      </c>
      <c r="B5" s="0" t="s">
        <v>12</v>
      </c>
    </row>
    <row r="6" customFormat="false" ht="15" hidden="false" customHeight="false" outlineLevel="0" collapsed="false">
      <c r="A6" s="0" t="s">
        <v>13</v>
      </c>
      <c r="C6" s="2" t="s">
        <v>14</v>
      </c>
      <c r="D6" s="3" t="s">
        <v>15</v>
      </c>
      <c r="E6" s="4" t="s">
        <v>16</v>
      </c>
      <c r="F6" s="5" t="s">
        <v>17</v>
      </c>
    </row>
    <row r="8" customFormat="false" ht="15" hidden="false" customHeight="false" outlineLevel="0" collapsed="false">
      <c r="A8" s="6" t="s">
        <v>18</v>
      </c>
      <c r="B8" s="6" t="s">
        <v>19</v>
      </c>
      <c r="C8" s="6" t="s">
        <v>20</v>
      </c>
      <c r="D8" s="6" t="s">
        <v>21</v>
      </c>
      <c r="E8" s="6" t="s">
        <v>22</v>
      </c>
      <c r="F8" s="6" t="s">
        <v>23</v>
      </c>
      <c r="G8" s="6" t="s">
        <v>24</v>
      </c>
      <c r="H8" s="6" t="s">
        <v>25</v>
      </c>
      <c r="I8" s="6" t="s">
        <v>26</v>
      </c>
      <c r="J8" s="6" t="s">
        <v>27</v>
      </c>
    </row>
    <row r="9" customFormat="false" ht="24" hidden="false" customHeight="true" outlineLevel="0" collapsed="false">
      <c r="A9" s="0" t="s">
        <v>28</v>
      </c>
      <c r="B9" s="0" t="s">
        <v>29</v>
      </c>
      <c r="C9" s="0" t="n">
        <f aca="false">COUNT(B20:B27)</f>
        <v>8</v>
      </c>
      <c r="D9" s="0" t="n">
        <f aca="false">COUNTIF(J20:J27,"Eigen lead*")</f>
        <v>4</v>
      </c>
      <c r="E9" s="0" t="n">
        <f aca="false">COUNTIF(J20:J27,"Overgenomen*")</f>
        <v>4</v>
      </c>
      <c r="F9" s="0" t="n">
        <f aca="false">SUM(G20:G28)</f>
        <v>280</v>
      </c>
      <c r="G9" s="0" t="n">
        <f aca="false">C9*20</f>
        <v>160</v>
      </c>
      <c r="H9" s="0" t="n">
        <v>30</v>
      </c>
      <c r="I9" s="7" t="n">
        <f aca="false">H28</f>
        <v>0.722222222222222</v>
      </c>
      <c r="J9" s="0" t="str">
        <f aca="false">IF(I9&lt;=TIME(17,30,0),"JA","NEE")</f>
        <v>JA</v>
      </c>
    </row>
    <row r="10" customFormat="false" ht="24" hidden="false" customHeight="true" outlineLevel="0" collapsed="false">
      <c r="A10" s="0" t="s">
        <v>30</v>
      </c>
      <c r="B10" s="0" t="s">
        <v>31</v>
      </c>
      <c r="C10" s="0" t="n">
        <f aca="false">COUNT(B47:B52)</f>
        <v>6</v>
      </c>
      <c r="D10" s="0" t="n">
        <f aca="false">COUNTIF(J47:J52,"Eigen lead*")</f>
        <v>6</v>
      </c>
      <c r="E10" s="0" t="n">
        <f aca="false">COUNTIF(J47:J52,"Overgenomen*")</f>
        <v>0</v>
      </c>
      <c r="F10" s="0" t="n">
        <f aca="false">SUM(G47:G53)</f>
        <v>330</v>
      </c>
      <c r="G10" s="0" t="n">
        <f aca="false">C10*20</f>
        <v>120</v>
      </c>
      <c r="H10" s="0" t="n">
        <v>30</v>
      </c>
      <c r="I10" s="7" t="n">
        <f aca="false">H53</f>
        <v>0.729166666666667</v>
      </c>
      <c r="J10" s="0" t="str">
        <f aca="false">IF(I10&lt;=TIME(17,30,0),"JA","NEE")</f>
        <v>JA</v>
      </c>
    </row>
    <row r="11" customFormat="false" ht="24" hidden="false" customHeight="true" outlineLevel="0" collapsed="false">
      <c r="A11" s="0" t="s">
        <v>30</v>
      </c>
      <c r="B11" s="0" t="s">
        <v>32</v>
      </c>
      <c r="C11" s="0" t="n">
        <f aca="false">COUNT(B69:B72)</f>
        <v>4</v>
      </c>
      <c r="D11" s="0" t="n">
        <f aca="false">COUNTIF(J69:J72,"Eigen lead*")</f>
        <v>3</v>
      </c>
      <c r="E11" s="0" t="n">
        <f aca="false">COUNTIF(J69:J72,"Overgenomen*")</f>
        <v>1</v>
      </c>
      <c r="F11" s="0" t="n">
        <f aca="false">SUM(G69:G73)</f>
        <v>339</v>
      </c>
      <c r="G11" s="0" t="n">
        <f aca="false">C11*20</f>
        <v>80</v>
      </c>
      <c r="H11" s="0" t="n">
        <v>30</v>
      </c>
      <c r="I11" s="7" t="n">
        <f aca="false">H73</f>
        <v>0.707638888888889</v>
      </c>
      <c r="J11" s="0" t="str">
        <f aca="false">IF(I11&lt;=TIME(17,30,0),"JA","NEE")</f>
        <v>JA</v>
      </c>
    </row>
    <row r="12" customFormat="false" ht="24" hidden="false" customHeight="true" outlineLevel="0" collapsed="false">
      <c r="A12" s="0" t="s">
        <v>33</v>
      </c>
      <c r="B12" s="0" t="s">
        <v>29</v>
      </c>
      <c r="C12" s="0" t="n">
        <f aca="false">COUNT(B31:B40)</f>
        <v>9</v>
      </c>
      <c r="D12" s="0" t="n">
        <f aca="false">COUNTIF(J31:J40,"Eigen lead*")</f>
        <v>7</v>
      </c>
      <c r="E12" s="0" t="n">
        <f aca="false">COUNTIF(J31:J40,"Overgenomen*")</f>
        <v>2</v>
      </c>
      <c r="F12" s="0" t="n">
        <f aca="false">SUM(G31:G41)</f>
        <v>132</v>
      </c>
      <c r="G12" s="0" t="n">
        <f aca="false">C12*20</f>
        <v>180</v>
      </c>
      <c r="H12" s="0" t="n">
        <v>0</v>
      </c>
      <c r="I12" s="7" t="n">
        <f aca="false">H41</f>
        <v>0.709722222222222</v>
      </c>
      <c r="J12" s="0" t="str">
        <f aca="false">IF(I12&lt;=TIME(17,30,0),"JA","NEE")</f>
        <v>JA</v>
      </c>
    </row>
    <row r="13" customFormat="false" ht="24" hidden="false" customHeight="true" outlineLevel="0" collapsed="false">
      <c r="A13" s="0" t="s">
        <v>34</v>
      </c>
      <c r="B13" s="0" t="s">
        <v>31</v>
      </c>
      <c r="C13" s="0" t="n">
        <f aca="false">COUNT(B56:B62)</f>
        <v>7</v>
      </c>
      <c r="D13" s="0" t="n">
        <f aca="false">COUNTIF(J56:J62,"Eigen lead*")</f>
        <v>6</v>
      </c>
      <c r="E13" s="0" t="n">
        <f aca="false">COUNTIF(J56:J62,"Overgenomen*")</f>
        <v>1</v>
      </c>
      <c r="F13" s="0" t="n">
        <f aca="false">SUM(G56:G63)</f>
        <v>286</v>
      </c>
      <c r="G13" s="0" t="n">
        <f aca="false">C13*20</f>
        <v>140</v>
      </c>
      <c r="H13" s="0" t="n">
        <v>30</v>
      </c>
      <c r="I13" s="7" t="n">
        <f aca="false">H63</f>
        <v>0.7125</v>
      </c>
      <c r="J13" s="0" t="str">
        <f aca="false">IF(I13&lt;=TIME(17,30,0),"JA","NEE")</f>
        <v>JA</v>
      </c>
    </row>
    <row r="14" customFormat="false" ht="24" hidden="false" customHeight="true" outlineLevel="0" collapsed="false">
      <c r="A14" s="0" t="s">
        <v>33</v>
      </c>
      <c r="B14" s="0" t="s">
        <v>32</v>
      </c>
      <c r="C14" s="0" t="n">
        <f aca="false">COUNT(B76:B81)</f>
        <v>6</v>
      </c>
      <c r="D14" s="0" t="n">
        <f aca="false">COUNTIF(J76:J81,"Eigen lead*")</f>
        <v>6</v>
      </c>
      <c r="E14" s="0" t="n">
        <f aca="false">COUNTIF(J76:J81,"Overgenomen*")</f>
        <v>0</v>
      </c>
      <c r="F14" s="0" t="n">
        <f aca="false">SUM(G76:G82)</f>
        <v>172</v>
      </c>
      <c r="G14" s="0" t="n">
        <f aca="false">C14*20</f>
        <v>120</v>
      </c>
      <c r="H14" s="0" t="n">
        <v>30</v>
      </c>
      <c r="I14" s="7" t="n">
        <f aca="false">H82</f>
        <v>0.619444444444445</v>
      </c>
      <c r="J14" s="0" t="str">
        <f aca="false">IF(I14&lt;=TIME(17,30,0),"JA","NEE")</f>
        <v>JA</v>
      </c>
    </row>
    <row r="15" customFormat="false" ht="15" hidden="false" customHeight="false" outlineLevel="0" collapsed="false">
      <c r="A15" s="8" t="s">
        <v>35</v>
      </c>
      <c r="C15" s="8" t="n">
        <f aca="false">SUM(C9:C14)</f>
        <v>40</v>
      </c>
      <c r="D15" s="8" t="n">
        <f aca="false">SUM(D9:D14)</f>
        <v>32</v>
      </c>
      <c r="E15" s="8" t="n">
        <f aca="false">SUM(E9:E14)</f>
        <v>8</v>
      </c>
      <c r="F15" s="8" t="n">
        <f aca="false">SUM(F9:F14)</f>
        <v>1539</v>
      </c>
      <c r="G15" s="8" t="n">
        <f aca="false">SUM(G9:G14)</f>
        <v>800</v>
      </c>
    </row>
    <row r="17" customFormat="false" ht="15.75" hidden="false" customHeight="true" outlineLevel="0" collapsed="false">
      <c r="A17" s="9" t="s">
        <v>36</v>
      </c>
      <c r="B17" s="9"/>
      <c r="C17" s="9"/>
      <c r="D17" s="9"/>
      <c r="E17" s="9"/>
      <c r="F17" s="9"/>
      <c r="G17" s="9"/>
      <c r="H17" s="9"/>
      <c r="I17" s="9"/>
      <c r="J17" s="9"/>
      <c r="K17" s="9"/>
    </row>
    <row r="18" customFormat="false" ht="28.35" hidden="false" customHeight="false" outlineLevel="0" collapsed="false">
      <c r="A18" s="6" t="s">
        <v>18</v>
      </c>
      <c r="B18" s="6" t="s">
        <v>37</v>
      </c>
      <c r="C18" s="6" t="s">
        <v>38</v>
      </c>
      <c r="D18" s="6" t="s">
        <v>39</v>
      </c>
      <c r="E18" s="6" t="s">
        <v>40</v>
      </c>
      <c r="F18" s="6" t="s">
        <v>41</v>
      </c>
      <c r="G18" s="6" t="s">
        <v>42</v>
      </c>
      <c r="H18" s="6" t="s">
        <v>43</v>
      </c>
      <c r="I18" s="6" t="s">
        <v>44</v>
      </c>
      <c r="J18" s="6" t="s">
        <v>45</v>
      </c>
      <c r="K18" s="6" t="s">
        <v>46</v>
      </c>
    </row>
    <row r="19" customFormat="false" ht="15" hidden="false" customHeight="false" outlineLevel="0" collapsed="false">
      <c r="A19" s="10" t="s">
        <v>28</v>
      </c>
      <c r="B19" s="10" t="s">
        <v>47</v>
      </c>
      <c r="C19" s="10" t="s">
        <v>2</v>
      </c>
      <c r="D19" s="10"/>
      <c r="E19" s="10" t="s">
        <v>48</v>
      </c>
      <c r="F19" s="10" t="s">
        <v>49</v>
      </c>
      <c r="G19" s="10" t="n">
        <v>0</v>
      </c>
      <c r="H19" s="11" t="n">
        <v>0.395833333333333</v>
      </c>
      <c r="I19" s="11" t="n">
        <v>0.395833333333333</v>
      </c>
      <c r="J19" s="10" t="s">
        <v>50</v>
      </c>
      <c r="K19" s="10"/>
    </row>
    <row r="20" customFormat="false" ht="33.75" hidden="false" customHeight="true" outlineLevel="0" collapsed="false">
      <c r="A20" s="12" t="s">
        <v>28</v>
      </c>
      <c r="B20" s="12" t="n">
        <v>1</v>
      </c>
      <c r="C20" s="12" t="s">
        <v>51</v>
      </c>
      <c r="D20" s="12" t="s">
        <v>52</v>
      </c>
      <c r="E20" s="12" t="s">
        <v>53</v>
      </c>
      <c r="F20" s="12" t="s">
        <v>49</v>
      </c>
      <c r="G20" s="12" t="n">
        <v>11</v>
      </c>
      <c r="H20" s="13" t="n">
        <f aca="false">I19+G20/1440+0/1440</f>
        <v>0.403472222222222</v>
      </c>
      <c r="I20" s="13" t="n">
        <f aca="false">H20+20/1440</f>
        <v>0.417361111111111</v>
      </c>
      <c r="J20" s="12" t="s">
        <v>54</v>
      </c>
      <c r="K20" s="14" t="s">
        <v>55</v>
      </c>
    </row>
    <row r="21" customFormat="false" ht="33.75" hidden="false" customHeight="true" outlineLevel="0" collapsed="false">
      <c r="A21" s="12" t="s">
        <v>28</v>
      </c>
      <c r="B21" s="12" t="n">
        <v>2</v>
      </c>
      <c r="C21" s="12" t="s">
        <v>56</v>
      </c>
      <c r="D21" s="12" t="s">
        <v>57</v>
      </c>
      <c r="E21" s="12" t="s">
        <v>58</v>
      </c>
      <c r="F21" s="12" t="s">
        <v>59</v>
      </c>
      <c r="G21" s="12" t="n">
        <v>39</v>
      </c>
      <c r="H21" s="13" t="n">
        <f aca="false">I20+G21/1440+0/1440</f>
        <v>0.444444444444444</v>
      </c>
      <c r="I21" s="13" t="n">
        <f aca="false">H21+20/1440</f>
        <v>0.458333333333333</v>
      </c>
      <c r="J21" s="15" t="s">
        <v>60</v>
      </c>
      <c r="K21" s="14" t="s">
        <v>55</v>
      </c>
    </row>
    <row r="22" customFormat="false" ht="33.75" hidden="false" customHeight="true" outlineLevel="0" collapsed="false">
      <c r="A22" s="12" t="s">
        <v>28</v>
      </c>
      <c r="B22" s="12" t="n">
        <v>3</v>
      </c>
      <c r="C22" s="12" t="s">
        <v>61</v>
      </c>
      <c r="D22" s="12" t="s">
        <v>52</v>
      </c>
      <c r="E22" s="12" t="s">
        <v>62</v>
      </c>
      <c r="F22" s="12" t="s">
        <v>59</v>
      </c>
      <c r="G22" s="12" t="n">
        <v>5</v>
      </c>
      <c r="H22" s="13" t="n">
        <f aca="false">I21+G22/1440+0/1440</f>
        <v>0.461805555555556</v>
      </c>
      <c r="I22" s="13" t="n">
        <f aca="false">H22+20/1440</f>
        <v>0.475694444444444</v>
      </c>
      <c r="J22" s="12" t="s">
        <v>54</v>
      </c>
      <c r="K22" s="14" t="s">
        <v>55</v>
      </c>
    </row>
    <row r="23" customFormat="false" ht="33.75" hidden="false" customHeight="true" outlineLevel="0" collapsed="false">
      <c r="A23" s="12" t="s">
        <v>28</v>
      </c>
      <c r="B23" s="12" t="n">
        <v>4</v>
      </c>
      <c r="C23" s="12" t="s">
        <v>63</v>
      </c>
      <c r="D23" s="12" t="s">
        <v>52</v>
      </c>
      <c r="E23" s="12" t="s">
        <v>64</v>
      </c>
      <c r="F23" s="12" t="s">
        <v>65</v>
      </c>
      <c r="G23" s="12" t="n">
        <v>63</v>
      </c>
      <c r="H23" s="13" t="n">
        <f aca="false">I22+G23/1440+0/1440</f>
        <v>0.519444444444445</v>
      </c>
      <c r="I23" s="13" t="n">
        <f aca="false">H23+20/1440</f>
        <v>0.533333333333333</v>
      </c>
      <c r="J23" s="12" t="s">
        <v>54</v>
      </c>
      <c r="K23" s="14" t="s">
        <v>55</v>
      </c>
    </row>
    <row r="24" customFormat="false" ht="33.75" hidden="false" customHeight="true" outlineLevel="0" collapsed="false">
      <c r="A24" s="12" t="s">
        <v>28</v>
      </c>
      <c r="B24" s="12" t="n">
        <v>5</v>
      </c>
      <c r="C24" s="12" t="s">
        <v>66</v>
      </c>
      <c r="D24" s="12" t="s">
        <v>57</v>
      </c>
      <c r="E24" s="12" t="s">
        <v>67</v>
      </c>
      <c r="F24" s="12" t="s">
        <v>65</v>
      </c>
      <c r="G24" s="12" t="n">
        <v>14</v>
      </c>
      <c r="H24" s="13" t="n">
        <f aca="false">I23+G24/1440+30/1440</f>
        <v>0.563888888888889</v>
      </c>
      <c r="I24" s="13" t="n">
        <f aca="false">H24+20/1440</f>
        <v>0.577777777777778</v>
      </c>
      <c r="J24" s="15" t="s">
        <v>60</v>
      </c>
      <c r="K24" s="14" t="s">
        <v>55</v>
      </c>
    </row>
    <row r="25" customFormat="false" ht="33.75" hidden="false" customHeight="true" outlineLevel="0" collapsed="false">
      <c r="A25" s="12" t="s">
        <v>28</v>
      </c>
      <c r="B25" s="12" t="n">
        <v>6</v>
      </c>
      <c r="C25" s="12" t="s">
        <v>68</v>
      </c>
      <c r="D25" s="12" t="s">
        <v>57</v>
      </c>
      <c r="E25" s="12" t="s">
        <v>69</v>
      </c>
      <c r="F25" s="12" t="s">
        <v>70</v>
      </c>
      <c r="G25" s="12" t="n">
        <v>30</v>
      </c>
      <c r="H25" s="13" t="n">
        <f aca="false">I24+G25/1440+0/1440</f>
        <v>0.598611111111111</v>
      </c>
      <c r="I25" s="13" t="n">
        <f aca="false">H25+20/1440</f>
        <v>0.6125</v>
      </c>
      <c r="J25" s="15" t="s">
        <v>60</v>
      </c>
      <c r="K25" s="14" t="s">
        <v>55</v>
      </c>
    </row>
    <row r="26" customFormat="false" ht="33.75" hidden="false" customHeight="true" outlineLevel="0" collapsed="false">
      <c r="A26" s="12" t="s">
        <v>28</v>
      </c>
      <c r="B26" s="12" t="n">
        <v>7</v>
      </c>
      <c r="C26" s="12" t="s">
        <v>71</v>
      </c>
      <c r="D26" s="12" t="s">
        <v>52</v>
      </c>
      <c r="E26" s="12" t="s">
        <v>72</v>
      </c>
      <c r="F26" s="12" t="s">
        <v>73</v>
      </c>
      <c r="G26" s="12" t="n">
        <v>61</v>
      </c>
      <c r="H26" s="13" t="n">
        <f aca="false">I25+G26/1440+0/1440</f>
        <v>0.654861111111111</v>
      </c>
      <c r="I26" s="13" t="n">
        <f aca="false">H26+20/1440</f>
        <v>0.66875</v>
      </c>
      <c r="J26" s="12" t="s">
        <v>54</v>
      </c>
      <c r="K26" s="14" t="s">
        <v>55</v>
      </c>
    </row>
    <row r="27" customFormat="false" ht="33.75" hidden="false" customHeight="true" outlineLevel="0" collapsed="false">
      <c r="A27" s="12" t="s">
        <v>28</v>
      </c>
      <c r="B27" s="12" t="n">
        <v>8</v>
      </c>
      <c r="C27" s="12" t="s">
        <v>74</v>
      </c>
      <c r="D27" s="12" t="s">
        <v>75</v>
      </c>
      <c r="E27" s="12" t="s">
        <v>76</v>
      </c>
      <c r="F27" s="12" t="s">
        <v>49</v>
      </c>
      <c r="G27" s="12" t="n">
        <v>45</v>
      </c>
      <c r="H27" s="13" t="n">
        <f aca="false">I26+G27/1440+0/1440</f>
        <v>0.7</v>
      </c>
      <c r="I27" s="13" t="n">
        <f aca="false">H27+20/1440</f>
        <v>0.713888888888889</v>
      </c>
      <c r="J27" s="15" t="s">
        <v>77</v>
      </c>
      <c r="K27" s="14" t="s">
        <v>55</v>
      </c>
    </row>
    <row r="28" customFormat="false" ht="15" hidden="false" customHeight="false" outlineLevel="0" collapsed="false">
      <c r="A28" s="10" t="s">
        <v>28</v>
      </c>
      <c r="B28" s="10" t="s">
        <v>78</v>
      </c>
      <c r="C28" s="10" t="s">
        <v>2</v>
      </c>
      <c r="D28" s="10"/>
      <c r="E28" s="10" t="s">
        <v>79</v>
      </c>
      <c r="F28" s="10" t="s">
        <v>49</v>
      </c>
      <c r="G28" s="10" t="n">
        <v>12</v>
      </c>
      <c r="H28" s="11" t="n">
        <f aca="false">I27+G28/1440+0/1440</f>
        <v>0.722222222222222</v>
      </c>
      <c r="I28" s="11" t="n">
        <f aca="false">H28</f>
        <v>0.722222222222222</v>
      </c>
      <c r="J28" s="16" t="str">
        <f aca="false">IF(H28&gt;TIME(17,30,0),"Inclusief lunch van 30 min | LET OP: na 17:30 terug, zie Aandachtspunten","Inclusief lunch van 30 min")</f>
        <v>Inclusief lunch van 30 min</v>
      </c>
      <c r="K28" s="10"/>
    </row>
    <row r="30" customFormat="false" ht="15" hidden="false" customHeight="false" outlineLevel="0" collapsed="false">
      <c r="A30" s="10" t="s">
        <v>33</v>
      </c>
      <c r="B30" s="10" t="s">
        <v>47</v>
      </c>
      <c r="C30" s="10" t="s">
        <v>2</v>
      </c>
      <c r="D30" s="10"/>
      <c r="E30" s="10" t="s">
        <v>48</v>
      </c>
      <c r="F30" s="10" t="s">
        <v>49</v>
      </c>
      <c r="G30" s="10" t="n">
        <v>0</v>
      </c>
      <c r="H30" s="11" t="n">
        <v>0.395833333333333</v>
      </c>
      <c r="I30" s="11" t="n">
        <v>0.395833333333333</v>
      </c>
      <c r="J30" s="10" t="s">
        <v>80</v>
      </c>
      <c r="K30" s="10"/>
    </row>
    <row r="31" customFormat="false" ht="33.75" hidden="false" customHeight="true" outlineLevel="0" collapsed="false">
      <c r="A31" s="12" t="s">
        <v>33</v>
      </c>
      <c r="B31" s="12" t="n">
        <v>1</v>
      </c>
      <c r="C31" s="12" t="s">
        <v>81</v>
      </c>
      <c r="D31" s="12" t="s">
        <v>82</v>
      </c>
      <c r="E31" s="12" t="s">
        <v>83</v>
      </c>
      <c r="F31" s="12" t="s">
        <v>49</v>
      </c>
      <c r="G31" s="12" t="n">
        <v>20</v>
      </c>
      <c r="H31" s="13" t="n">
        <f aca="false">I30+G31/1440+0/1440</f>
        <v>0.409722222222222</v>
      </c>
      <c r="I31" s="13" t="n">
        <f aca="false">H31+20/1440</f>
        <v>0.423611111111111</v>
      </c>
      <c r="J31" s="15" t="s">
        <v>84</v>
      </c>
      <c r="K31" s="14" t="s">
        <v>55</v>
      </c>
    </row>
    <row r="32" customFormat="false" ht="33.75" hidden="false" customHeight="true" outlineLevel="0" collapsed="false">
      <c r="A32" s="12" t="s">
        <v>33</v>
      </c>
      <c r="B32" s="12" t="n">
        <v>2</v>
      </c>
      <c r="C32" s="12" t="s">
        <v>85</v>
      </c>
      <c r="D32" s="12" t="s">
        <v>75</v>
      </c>
      <c r="E32" s="12" t="s">
        <v>86</v>
      </c>
      <c r="F32" s="12" t="s">
        <v>49</v>
      </c>
      <c r="G32" s="12" t="n">
        <v>8</v>
      </c>
      <c r="H32" s="13" t="n">
        <f aca="false">I31+G32/1440+0/1440</f>
        <v>0.429166666666667</v>
      </c>
      <c r="I32" s="13" t="n">
        <f aca="false">H32+20/1440</f>
        <v>0.443055555555556</v>
      </c>
      <c r="J32" s="12" t="s">
        <v>54</v>
      </c>
      <c r="K32" s="14" t="s">
        <v>55</v>
      </c>
    </row>
    <row r="33" customFormat="false" ht="33.75" hidden="false" customHeight="true" outlineLevel="0" collapsed="false">
      <c r="A33" s="12" t="s">
        <v>33</v>
      </c>
      <c r="B33" s="12" t="n">
        <v>3</v>
      </c>
      <c r="C33" s="12" t="s">
        <v>87</v>
      </c>
      <c r="D33" s="12" t="s">
        <v>75</v>
      </c>
      <c r="E33" s="12" t="s">
        <v>88</v>
      </c>
      <c r="F33" s="12" t="s">
        <v>49</v>
      </c>
      <c r="G33" s="12" t="n">
        <v>12</v>
      </c>
      <c r="H33" s="13" t="n">
        <f aca="false">I32+G33/1440+0/1440</f>
        <v>0.451388888888889</v>
      </c>
      <c r="I33" s="13" t="n">
        <f aca="false">H33+20/1440</f>
        <v>0.465277777777778</v>
      </c>
      <c r="J33" s="12" t="s">
        <v>54</v>
      </c>
      <c r="K33" s="14" t="s">
        <v>55</v>
      </c>
    </row>
    <row r="34" customFormat="false" ht="33.75" hidden="false" customHeight="true" outlineLevel="0" collapsed="false">
      <c r="A34" s="12" t="s">
        <v>33</v>
      </c>
      <c r="B34" s="12" t="n">
        <v>4</v>
      </c>
      <c r="C34" s="12" t="s">
        <v>89</v>
      </c>
      <c r="D34" s="12" t="s">
        <v>75</v>
      </c>
      <c r="E34" s="12" t="s">
        <v>90</v>
      </c>
      <c r="F34" s="12" t="s">
        <v>49</v>
      </c>
      <c r="G34" s="12" t="n">
        <v>10</v>
      </c>
      <c r="H34" s="13" t="n">
        <f aca="false">I33+G34/1440+0/1440</f>
        <v>0.472222222222222</v>
      </c>
      <c r="I34" s="13" t="n">
        <f aca="false">H34+20/1440</f>
        <v>0.486111111111111</v>
      </c>
      <c r="J34" s="12" t="s">
        <v>54</v>
      </c>
      <c r="K34" s="14" t="s">
        <v>55</v>
      </c>
    </row>
    <row r="35" customFormat="false" ht="33.75" hidden="false" customHeight="true" outlineLevel="0" collapsed="false">
      <c r="A35" s="12" t="s">
        <v>33</v>
      </c>
      <c r="B35" s="12" t="n">
        <v>5</v>
      </c>
      <c r="C35" s="12" t="s">
        <v>91</v>
      </c>
      <c r="D35" s="12" t="s">
        <v>75</v>
      </c>
      <c r="E35" s="12" t="s">
        <v>92</v>
      </c>
      <c r="F35" s="12" t="s">
        <v>49</v>
      </c>
      <c r="G35" s="12" t="n">
        <v>12</v>
      </c>
      <c r="H35" s="13" t="n">
        <f aca="false">I34+G35/1440+0/1440</f>
        <v>0.494444444444444</v>
      </c>
      <c r="I35" s="13" t="n">
        <f aca="false">H35+20/1440</f>
        <v>0.508333333333333</v>
      </c>
      <c r="J35" s="12" t="s">
        <v>54</v>
      </c>
      <c r="K35" s="14" t="s">
        <v>55</v>
      </c>
    </row>
    <row r="36" customFormat="false" ht="33.75" hidden="false" customHeight="true" outlineLevel="0" collapsed="false">
      <c r="A36" s="17" t="s">
        <v>33</v>
      </c>
      <c r="B36" s="17" t="s">
        <v>93</v>
      </c>
      <c r="C36" s="17" t="s">
        <v>94</v>
      </c>
      <c r="D36" s="17" t="s">
        <v>75</v>
      </c>
      <c r="E36" s="17" t="s">
        <v>95</v>
      </c>
      <c r="F36" s="17" t="s">
        <v>49</v>
      </c>
      <c r="G36" s="17" t="n">
        <v>13</v>
      </c>
      <c r="H36" s="18" t="n">
        <f aca="false">I35+G36/1440</f>
        <v>0.517361111111111</v>
      </c>
      <c r="I36" s="19" t="n">
        <v>0.614583333333333</v>
      </c>
      <c r="J36" s="17" t="s">
        <v>96</v>
      </c>
      <c r="K36" s="20" t="s">
        <v>55</v>
      </c>
    </row>
    <row r="37" customFormat="false" ht="33.75" hidden="false" customHeight="true" outlineLevel="0" collapsed="false">
      <c r="A37" s="12" t="s">
        <v>33</v>
      </c>
      <c r="B37" s="12" t="n">
        <v>6</v>
      </c>
      <c r="C37" s="12" t="s">
        <v>97</v>
      </c>
      <c r="D37" s="12" t="s">
        <v>75</v>
      </c>
      <c r="E37" s="12" t="s">
        <v>98</v>
      </c>
      <c r="F37" s="12" t="s">
        <v>49</v>
      </c>
      <c r="G37" s="12" t="n">
        <v>12</v>
      </c>
      <c r="H37" s="13" t="n">
        <f aca="false">I36+G37/1440+0/1440</f>
        <v>0.622916666666667</v>
      </c>
      <c r="I37" s="13" t="n">
        <f aca="false">H37+20/1440</f>
        <v>0.636805555555556</v>
      </c>
      <c r="J37" s="12" t="s">
        <v>54</v>
      </c>
      <c r="K37" s="14" t="s">
        <v>55</v>
      </c>
    </row>
    <row r="38" customFormat="false" ht="33.75" hidden="false" customHeight="true" outlineLevel="0" collapsed="false">
      <c r="A38" s="12" t="s">
        <v>33</v>
      </c>
      <c r="B38" s="12" t="n">
        <v>7</v>
      </c>
      <c r="C38" s="12" t="s">
        <v>99</v>
      </c>
      <c r="D38" s="12" t="s">
        <v>75</v>
      </c>
      <c r="E38" s="12" t="s">
        <v>100</v>
      </c>
      <c r="F38" s="12" t="s">
        <v>49</v>
      </c>
      <c r="G38" s="12" t="n">
        <v>8</v>
      </c>
      <c r="H38" s="13" t="n">
        <f aca="false">I37+G38/1440+0/1440</f>
        <v>0.642361111111111</v>
      </c>
      <c r="I38" s="13" t="n">
        <f aca="false">H38+20/1440</f>
        <v>0.65625</v>
      </c>
      <c r="J38" s="12" t="s">
        <v>54</v>
      </c>
      <c r="K38" s="14" t="s">
        <v>55</v>
      </c>
    </row>
    <row r="39" customFormat="false" ht="33.75" hidden="false" customHeight="true" outlineLevel="0" collapsed="false">
      <c r="A39" s="12" t="s">
        <v>33</v>
      </c>
      <c r="B39" s="12" t="n">
        <v>8</v>
      </c>
      <c r="C39" s="12" t="s">
        <v>101</v>
      </c>
      <c r="D39" s="12" t="s">
        <v>75</v>
      </c>
      <c r="E39" s="12" t="s">
        <v>102</v>
      </c>
      <c r="F39" s="12" t="s">
        <v>49</v>
      </c>
      <c r="G39" s="12" t="n">
        <v>18</v>
      </c>
      <c r="H39" s="13" t="n">
        <f aca="false">I38+G39/1440+0/1440</f>
        <v>0.66875</v>
      </c>
      <c r="I39" s="13" t="n">
        <f aca="false">H39+20/1440</f>
        <v>0.682638888888889</v>
      </c>
      <c r="J39" s="12" t="s">
        <v>54</v>
      </c>
      <c r="K39" s="14" t="s">
        <v>55</v>
      </c>
    </row>
    <row r="40" customFormat="false" ht="33.75" hidden="false" customHeight="true" outlineLevel="0" collapsed="false">
      <c r="A40" s="12" t="s">
        <v>33</v>
      </c>
      <c r="B40" s="12" t="n">
        <v>9</v>
      </c>
      <c r="C40" s="12" t="s">
        <v>103</v>
      </c>
      <c r="D40" s="12" t="s">
        <v>82</v>
      </c>
      <c r="E40" s="12" t="s">
        <v>104</v>
      </c>
      <c r="F40" s="12" t="s">
        <v>49</v>
      </c>
      <c r="G40" s="12" t="n">
        <v>5</v>
      </c>
      <c r="H40" s="13" t="n">
        <f aca="false">I39+G40/1440+0/1440</f>
        <v>0.686111111111111</v>
      </c>
      <c r="I40" s="13" t="n">
        <f aca="false">H40+20/1440</f>
        <v>0.7</v>
      </c>
      <c r="J40" s="15" t="s">
        <v>84</v>
      </c>
      <c r="K40" s="14" t="s">
        <v>55</v>
      </c>
    </row>
    <row r="41" customFormat="false" ht="15" hidden="false" customHeight="false" outlineLevel="0" collapsed="false">
      <c r="A41" s="10" t="s">
        <v>33</v>
      </c>
      <c r="B41" s="10" t="s">
        <v>78</v>
      </c>
      <c r="C41" s="10" t="s">
        <v>2</v>
      </c>
      <c r="D41" s="10"/>
      <c r="E41" s="10" t="s">
        <v>79</v>
      </c>
      <c r="F41" s="10" t="s">
        <v>49</v>
      </c>
      <c r="G41" s="10" t="n">
        <v>14</v>
      </c>
      <c r="H41" s="11" t="n">
        <f aca="false">I40+G41/1440+0/1440</f>
        <v>0.709722222222222</v>
      </c>
      <c r="I41" s="11" t="n">
        <f aca="false">H41</f>
        <v>0.709722222222222</v>
      </c>
      <c r="J41" s="16" t="str">
        <f aca="false">IF(H41&gt;TIME(17,30,0),"Pauze tijdens meeting Friso | LET OP: na 17:30 terug, zie Aandachtspunten","Pauze tijdens meeting Friso")</f>
        <v>Pauze tijdens meeting Friso</v>
      </c>
      <c r="K41" s="10"/>
    </row>
    <row r="44" customFormat="false" ht="15.75" hidden="false" customHeight="true" outlineLevel="0" collapsed="false">
      <c r="A44" s="9" t="s">
        <v>105</v>
      </c>
      <c r="B44" s="9"/>
      <c r="C44" s="9"/>
      <c r="D44" s="9"/>
      <c r="E44" s="9"/>
      <c r="F44" s="9"/>
      <c r="G44" s="9"/>
      <c r="H44" s="9"/>
      <c r="I44" s="9"/>
      <c r="J44" s="9"/>
      <c r="K44" s="9"/>
    </row>
    <row r="45" customFormat="false" ht="28.35" hidden="false" customHeight="false" outlineLevel="0" collapsed="false">
      <c r="A45" s="6" t="s">
        <v>18</v>
      </c>
      <c r="B45" s="6" t="s">
        <v>37</v>
      </c>
      <c r="C45" s="6" t="s">
        <v>38</v>
      </c>
      <c r="D45" s="6" t="s">
        <v>39</v>
      </c>
      <c r="E45" s="6" t="s">
        <v>40</v>
      </c>
      <c r="F45" s="6" t="s">
        <v>41</v>
      </c>
      <c r="G45" s="6" t="s">
        <v>42</v>
      </c>
      <c r="H45" s="6" t="s">
        <v>43</v>
      </c>
      <c r="I45" s="6" t="s">
        <v>44</v>
      </c>
      <c r="J45" s="6" t="s">
        <v>45</v>
      </c>
      <c r="K45" s="6" t="s">
        <v>46</v>
      </c>
    </row>
    <row r="46" customFormat="false" ht="15" hidden="false" customHeight="false" outlineLevel="0" collapsed="false">
      <c r="A46" s="10" t="s">
        <v>30</v>
      </c>
      <c r="B46" s="10" t="s">
        <v>47</v>
      </c>
      <c r="C46" s="10" t="s">
        <v>2</v>
      </c>
      <c r="D46" s="10"/>
      <c r="E46" s="10" t="s">
        <v>48</v>
      </c>
      <c r="F46" s="10" t="s">
        <v>49</v>
      </c>
      <c r="G46" s="10" t="n">
        <v>0</v>
      </c>
      <c r="H46" s="11" t="n">
        <v>0.395833333333333</v>
      </c>
      <c r="I46" s="11" t="n">
        <v>0.395833333333333</v>
      </c>
      <c r="J46" s="10" t="s">
        <v>80</v>
      </c>
      <c r="K46" s="10"/>
    </row>
    <row r="47" customFormat="false" ht="33.75" hidden="false" customHeight="true" outlineLevel="0" collapsed="false">
      <c r="A47" s="21" t="s">
        <v>30</v>
      </c>
      <c r="B47" s="21" t="n">
        <v>1</v>
      </c>
      <c r="C47" s="22" t="s">
        <v>106</v>
      </c>
      <c r="D47" s="12" t="s">
        <v>52</v>
      </c>
      <c r="E47" s="12" t="s">
        <v>107</v>
      </c>
      <c r="F47" s="12" t="s">
        <v>49</v>
      </c>
      <c r="G47" s="12" t="n">
        <v>14</v>
      </c>
      <c r="H47" s="13" t="n">
        <f aca="false">I46+G47/1440+0/1440</f>
        <v>0.405555555555556</v>
      </c>
      <c r="I47" s="13" t="n">
        <f aca="false">H47+20/1440</f>
        <v>0.419444444444444</v>
      </c>
      <c r="J47" s="12" t="s">
        <v>108</v>
      </c>
      <c r="K47" s="14" t="s">
        <v>55</v>
      </c>
    </row>
    <row r="48" customFormat="false" ht="33.75" hidden="false" customHeight="true" outlineLevel="0" collapsed="false">
      <c r="A48" s="21" t="s">
        <v>30</v>
      </c>
      <c r="B48" s="21" t="n">
        <v>2</v>
      </c>
      <c r="C48" s="22" t="s">
        <v>109</v>
      </c>
      <c r="D48" s="12" t="s">
        <v>52</v>
      </c>
      <c r="E48" s="12" t="s">
        <v>110</v>
      </c>
      <c r="F48" s="12" t="s">
        <v>49</v>
      </c>
      <c r="G48" s="12" t="n">
        <v>13</v>
      </c>
      <c r="H48" s="13" t="n">
        <f aca="false">I47+G48/1440+0/1440</f>
        <v>0.428472222222222</v>
      </c>
      <c r="I48" s="13" t="n">
        <f aca="false">H48+20/1440</f>
        <v>0.442361111111111</v>
      </c>
      <c r="J48" s="12" t="s">
        <v>108</v>
      </c>
      <c r="K48" s="14" t="s">
        <v>55</v>
      </c>
    </row>
    <row r="49" customFormat="false" ht="33.75" hidden="false" customHeight="true" outlineLevel="0" collapsed="false">
      <c r="A49" s="21" t="s">
        <v>30</v>
      </c>
      <c r="B49" s="21" t="n">
        <v>3</v>
      </c>
      <c r="C49" s="22" t="s">
        <v>111</v>
      </c>
      <c r="D49" s="12" t="s">
        <v>52</v>
      </c>
      <c r="E49" s="12" t="s">
        <v>112</v>
      </c>
      <c r="F49" s="12" t="s">
        <v>49</v>
      </c>
      <c r="G49" s="12" t="n">
        <v>10</v>
      </c>
      <c r="H49" s="13" t="n">
        <f aca="false">I48+G49/1440+0/1440</f>
        <v>0.449305555555556</v>
      </c>
      <c r="I49" s="13" t="n">
        <f aca="false">H49+20/1440</f>
        <v>0.463194444444444</v>
      </c>
      <c r="J49" s="12" t="s">
        <v>108</v>
      </c>
      <c r="K49" s="14" t="s">
        <v>55</v>
      </c>
    </row>
    <row r="50" customFormat="false" ht="33.75" hidden="false" customHeight="true" outlineLevel="0" collapsed="false">
      <c r="A50" s="12" t="s">
        <v>30</v>
      </c>
      <c r="B50" s="12" t="n">
        <v>4</v>
      </c>
      <c r="C50" s="12" t="s">
        <v>113</v>
      </c>
      <c r="D50" s="12" t="s">
        <v>52</v>
      </c>
      <c r="E50" s="12" t="s">
        <v>114</v>
      </c>
      <c r="F50" s="12" t="s">
        <v>115</v>
      </c>
      <c r="G50" s="12" t="n">
        <v>126</v>
      </c>
      <c r="H50" s="13" t="n">
        <f aca="false">I49+G50/1440+0/1440</f>
        <v>0.550694444444445</v>
      </c>
      <c r="I50" s="13" t="n">
        <f aca="false">H50+20/1440</f>
        <v>0.564583333333333</v>
      </c>
      <c r="J50" s="12" t="s">
        <v>54</v>
      </c>
      <c r="K50" s="14" t="s">
        <v>55</v>
      </c>
    </row>
    <row r="51" customFormat="false" ht="33.75" hidden="false" customHeight="true" outlineLevel="0" collapsed="false">
      <c r="A51" s="12" t="s">
        <v>30</v>
      </c>
      <c r="B51" s="12" t="n">
        <v>5</v>
      </c>
      <c r="C51" s="12" t="s">
        <v>116</v>
      </c>
      <c r="D51" s="12" t="s">
        <v>52</v>
      </c>
      <c r="E51" s="12" t="s">
        <v>117</v>
      </c>
      <c r="F51" s="12" t="s">
        <v>115</v>
      </c>
      <c r="G51" s="12" t="n">
        <v>17</v>
      </c>
      <c r="H51" s="13" t="n">
        <f aca="false">I50+G51/1440+30/1440</f>
        <v>0.597222222222222</v>
      </c>
      <c r="I51" s="13" t="n">
        <f aca="false">H51+20/1440</f>
        <v>0.611111111111111</v>
      </c>
      <c r="J51" s="12" t="s">
        <v>54</v>
      </c>
      <c r="K51" s="14" t="s">
        <v>55</v>
      </c>
    </row>
    <row r="52" customFormat="false" ht="33.75" hidden="false" customHeight="true" outlineLevel="0" collapsed="false">
      <c r="A52" s="12" t="s">
        <v>30</v>
      </c>
      <c r="B52" s="12" t="n">
        <v>6</v>
      </c>
      <c r="C52" s="12" t="s">
        <v>118</v>
      </c>
      <c r="D52" s="12" t="s">
        <v>52</v>
      </c>
      <c r="E52" s="12" t="s">
        <v>119</v>
      </c>
      <c r="F52" s="12" t="s">
        <v>49</v>
      </c>
      <c r="G52" s="12" t="n">
        <v>124</v>
      </c>
      <c r="H52" s="13" t="n">
        <f aca="false">I51+G52/1440+0/1440</f>
        <v>0.697222222222222</v>
      </c>
      <c r="I52" s="13" t="n">
        <f aca="false">H52+20/1440</f>
        <v>0.711111111111111</v>
      </c>
      <c r="J52" s="12" t="s">
        <v>54</v>
      </c>
      <c r="K52" s="14" t="s">
        <v>55</v>
      </c>
    </row>
    <row r="53" customFormat="false" ht="15" hidden="false" customHeight="false" outlineLevel="0" collapsed="false">
      <c r="A53" s="10" t="s">
        <v>30</v>
      </c>
      <c r="B53" s="10" t="s">
        <v>78</v>
      </c>
      <c r="C53" s="10" t="s">
        <v>2</v>
      </c>
      <c r="D53" s="10"/>
      <c r="E53" s="10" t="s">
        <v>79</v>
      </c>
      <c r="F53" s="10" t="s">
        <v>49</v>
      </c>
      <c r="G53" s="10" t="n">
        <v>26</v>
      </c>
      <c r="H53" s="11" t="n">
        <f aca="false">I52+G53/1440+0/1440</f>
        <v>0.729166666666667</v>
      </c>
      <c r="I53" s="11" t="n">
        <f aca="false">H53</f>
        <v>0.729166666666667</v>
      </c>
      <c r="J53" s="16" t="str">
        <f aca="false">IF(H53&gt;TIME(17,30,0),"Inclusief lunch van 30 min | LET OP: na 17:30 terug, zie Aandachtspunten","Inclusief lunch van 30 min")</f>
        <v>Inclusief lunch van 30 min</v>
      </c>
      <c r="K53" s="10"/>
    </row>
    <row r="55" customFormat="false" ht="15" hidden="false" customHeight="false" outlineLevel="0" collapsed="false">
      <c r="A55" s="10" t="s">
        <v>34</v>
      </c>
      <c r="B55" s="10" t="s">
        <v>47</v>
      </c>
      <c r="C55" s="10" t="s">
        <v>2</v>
      </c>
      <c r="D55" s="10"/>
      <c r="E55" s="10" t="s">
        <v>48</v>
      </c>
      <c r="F55" s="10" t="s">
        <v>49</v>
      </c>
      <c r="G55" s="10" t="n">
        <v>0</v>
      </c>
      <c r="H55" s="11" t="n">
        <v>0.395833333333333</v>
      </c>
      <c r="I55" s="11" t="n">
        <v>0.395833333333333</v>
      </c>
      <c r="J55" s="10" t="s">
        <v>120</v>
      </c>
      <c r="K55" s="10"/>
    </row>
    <row r="56" customFormat="false" ht="33.75" hidden="false" customHeight="true" outlineLevel="0" collapsed="false">
      <c r="A56" s="12" t="s">
        <v>34</v>
      </c>
      <c r="B56" s="12" t="n">
        <v>1</v>
      </c>
      <c r="C56" s="12" t="s">
        <v>121</v>
      </c>
      <c r="D56" s="12" t="s">
        <v>52</v>
      </c>
      <c r="E56" s="12" t="s">
        <v>122</v>
      </c>
      <c r="F56" s="12" t="s">
        <v>123</v>
      </c>
      <c r="G56" s="12" t="n">
        <v>70</v>
      </c>
      <c r="H56" s="13" t="n">
        <f aca="false">I55+G56/1440+0/1440</f>
        <v>0.444444444444444</v>
      </c>
      <c r="I56" s="13" t="n">
        <f aca="false">H56+20/1440</f>
        <v>0.458333333333333</v>
      </c>
      <c r="J56" s="15" t="s">
        <v>124</v>
      </c>
      <c r="K56" s="14" t="s">
        <v>55</v>
      </c>
    </row>
    <row r="57" customFormat="false" ht="33.75" hidden="false" customHeight="true" outlineLevel="0" collapsed="false">
      <c r="A57" s="12" t="s">
        <v>34</v>
      </c>
      <c r="B57" s="12" t="n">
        <v>2</v>
      </c>
      <c r="C57" s="12" t="s">
        <v>125</v>
      </c>
      <c r="D57" s="12" t="s">
        <v>75</v>
      </c>
      <c r="E57" s="12" t="s">
        <v>126</v>
      </c>
      <c r="F57" s="12" t="s">
        <v>123</v>
      </c>
      <c r="G57" s="12" t="n">
        <v>10</v>
      </c>
      <c r="H57" s="13" t="n">
        <f aca="false">I56+G57/1440+0/1440</f>
        <v>0.465277777777778</v>
      </c>
      <c r="I57" s="13" t="n">
        <f aca="false">H57+20/1440</f>
        <v>0.479166666666667</v>
      </c>
      <c r="J57" s="12" t="s">
        <v>54</v>
      </c>
      <c r="K57" s="14" t="s">
        <v>55</v>
      </c>
    </row>
    <row r="58" customFormat="false" ht="33.75" hidden="false" customHeight="true" outlineLevel="0" collapsed="false">
      <c r="A58" s="12" t="s">
        <v>34</v>
      </c>
      <c r="B58" s="12" t="n">
        <v>3</v>
      </c>
      <c r="C58" s="12" t="s">
        <v>127</v>
      </c>
      <c r="D58" s="12" t="s">
        <v>75</v>
      </c>
      <c r="E58" s="12" t="s">
        <v>128</v>
      </c>
      <c r="F58" s="12" t="s">
        <v>123</v>
      </c>
      <c r="G58" s="12" t="n">
        <v>7</v>
      </c>
      <c r="H58" s="13" t="n">
        <f aca="false">I57+G58/1440+0/1440</f>
        <v>0.484027777777778</v>
      </c>
      <c r="I58" s="13" t="n">
        <f aca="false">H58+20/1440</f>
        <v>0.497916666666667</v>
      </c>
      <c r="J58" s="12" t="s">
        <v>54</v>
      </c>
      <c r="K58" s="14" t="s">
        <v>55</v>
      </c>
    </row>
    <row r="59" customFormat="false" ht="33.75" hidden="false" customHeight="true" outlineLevel="0" collapsed="false">
      <c r="A59" s="12" t="s">
        <v>34</v>
      </c>
      <c r="B59" s="12" t="n">
        <v>4</v>
      </c>
      <c r="C59" s="12" t="s">
        <v>129</v>
      </c>
      <c r="D59" s="12" t="s">
        <v>75</v>
      </c>
      <c r="E59" s="12" t="s">
        <v>130</v>
      </c>
      <c r="F59" s="12" t="s">
        <v>123</v>
      </c>
      <c r="G59" s="12" t="n">
        <v>12</v>
      </c>
      <c r="H59" s="13" t="n">
        <f aca="false">I58+G59/1440+0/1440</f>
        <v>0.50625</v>
      </c>
      <c r="I59" s="13" t="n">
        <f aca="false">H59+20/1440</f>
        <v>0.520138888888889</v>
      </c>
      <c r="J59" s="12" t="s">
        <v>54</v>
      </c>
      <c r="K59" s="14" t="s">
        <v>55</v>
      </c>
    </row>
    <row r="60" customFormat="false" ht="33.75" hidden="false" customHeight="true" outlineLevel="0" collapsed="false">
      <c r="A60" s="12" t="s">
        <v>34</v>
      </c>
      <c r="B60" s="12" t="n">
        <v>5</v>
      </c>
      <c r="C60" s="12" t="s">
        <v>131</v>
      </c>
      <c r="D60" s="12" t="s">
        <v>57</v>
      </c>
      <c r="E60" s="12" t="s">
        <v>132</v>
      </c>
      <c r="F60" s="12" t="s">
        <v>133</v>
      </c>
      <c r="G60" s="12" t="n">
        <v>18</v>
      </c>
      <c r="H60" s="13" t="n">
        <f aca="false">I59+G60/1440+30/1440</f>
        <v>0.553472222222222</v>
      </c>
      <c r="I60" s="13" t="n">
        <f aca="false">H60+20/1440</f>
        <v>0.567361111111111</v>
      </c>
      <c r="J60" s="12" t="s">
        <v>54</v>
      </c>
      <c r="K60" s="14" t="s">
        <v>55</v>
      </c>
    </row>
    <row r="61" customFormat="false" ht="33.75" hidden="false" customHeight="true" outlineLevel="0" collapsed="false">
      <c r="A61" s="12" t="s">
        <v>34</v>
      </c>
      <c r="B61" s="12" t="n">
        <v>6</v>
      </c>
      <c r="C61" s="12" t="s">
        <v>134</v>
      </c>
      <c r="D61" s="12" t="s">
        <v>75</v>
      </c>
      <c r="E61" s="12" t="s">
        <v>135</v>
      </c>
      <c r="F61" s="12" t="s">
        <v>136</v>
      </c>
      <c r="G61" s="12" t="n">
        <v>27</v>
      </c>
      <c r="H61" s="13" t="n">
        <f aca="false">I60+G61/1440+0/1440</f>
        <v>0.586111111111111</v>
      </c>
      <c r="I61" s="13" t="n">
        <f aca="false">H61+20/1440</f>
        <v>0.6</v>
      </c>
      <c r="J61" s="12" t="s">
        <v>54</v>
      </c>
      <c r="K61" s="14" t="s">
        <v>55</v>
      </c>
    </row>
    <row r="62" customFormat="false" ht="33.75" hidden="false" customHeight="true" outlineLevel="0" collapsed="false">
      <c r="A62" s="12" t="s">
        <v>34</v>
      </c>
      <c r="B62" s="12" t="n">
        <v>7</v>
      </c>
      <c r="C62" s="12" t="s">
        <v>137</v>
      </c>
      <c r="D62" s="12" t="s">
        <v>57</v>
      </c>
      <c r="E62" s="12" t="s">
        <v>138</v>
      </c>
      <c r="F62" s="12" t="s">
        <v>139</v>
      </c>
      <c r="G62" s="12" t="n">
        <v>49</v>
      </c>
      <c r="H62" s="13" t="n">
        <f aca="false">I61+G62/1440+0/1440</f>
        <v>0.634027777777778</v>
      </c>
      <c r="I62" s="13" t="n">
        <f aca="false">H62+20/1440</f>
        <v>0.647916666666667</v>
      </c>
      <c r="J62" s="12" t="s">
        <v>54</v>
      </c>
      <c r="K62" s="14" t="s">
        <v>55</v>
      </c>
    </row>
    <row r="63" customFormat="false" ht="15" hidden="false" customHeight="false" outlineLevel="0" collapsed="false">
      <c r="A63" s="10" t="s">
        <v>34</v>
      </c>
      <c r="B63" s="10" t="s">
        <v>78</v>
      </c>
      <c r="C63" s="10" t="s">
        <v>2</v>
      </c>
      <c r="D63" s="10"/>
      <c r="E63" s="10" t="s">
        <v>79</v>
      </c>
      <c r="F63" s="10" t="s">
        <v>49</v>
      </c>
      <c r="G63" s="10" t="n">
        <v>93</v>
      </c>
      <c r="H63" s="11" t="n">
        <f aca="false">I62+G63/1440+0/1440</f>
        <v>0.7125</v>
      </c>
      <c r="I63" s="11" t="n">
        <f aca="false">H63</f>
        <v>0.7125</v>
      </c>
      <c r="J63" s="16" t="str">
        <f aca="false">IF(H63&gt;TIME(17,30,0),"Inclusief lunch van 30 min | LET OP: na 17:30 terug, zie Aandachtspunten","Inclusief lunch van 30 min")</f>
        <v>Inclusief lunch van 30 min</v>
      </c>
      <c r="K63" s="10"/>
    </row>
    <row r="66" customFormat="false" ht="15.75" hidden="false" customHeight="true" outlineLevel="0" collapsed="false">
      <c r="A66" s="9" t="s">
        <v>140</v>
      </c>
      <c r="B66" s="9"/>
      <c r="C66" s="9"/>
      <c r="D66" s="9"/>
      <c r="E66" s="9"/>
      <c r="F66" s="9"/>
      <c r="G66" s="9"/>
      <c r="H66" s="9"/>
      <c r="I66" s="9"/>
      <c r="J66" s="9"/>
      <c r="K66" s="9"/>
    </row>
    <row r="67" customFormat="false" ht="28.35" hidden="false" customHeight="false" outlineLevel="0" collapsed="false">
      <c r="A67" s="6" t="s">
        <v>18</v>
      </c>
      <c r="B67" s="6" t="s">
        <v>37</v>
      </c>
      <c r="C67" s="6" t="s">
        <v>38</v>
      </c>
      <c r="D67" s="6" t="s">
        <v>39</v>
      </c>
      <c r="E67" s="6" t="s">
        <v>40</v>
      </c>
      <c r="F67" s="6" t="s">
        <v>41</v>
      </c>
      <c r="G67" s="6" t="s">
        <v>42</v>
      </c>
      <c r="H67" s="6" t="s">
        <v>43</v>
      </c>
      <c r="I67" s="6" t="s">
        <v>44</v>
      </c>
      <c r="J67" s="6" t="s">
        <v>45</v>
      </c>
      <c r="K67" s="6" t="s">
        <v>46</v>
      </c>
    </row>
    <row r="68" customFormat="false" ht="15" hidden="false" customHeight="false" outlineLevel="0" collapsed="false">
      <c r="A68" s="10" t="s">
        <v>30</v>
      </c>
      <c r="B68" s="10" t="s">
        <v>47</v>
      </c>
      <c r="C68" s="10" t="s">
        <v>2</v>
      </c>
      <c r="D68" s="10"/>
      <c r="E68" s="10" t="s">
        <v>48</v>
      </c>
      <c r="F68" s="10" t="s">
        <v>49</v>
      </c>
      <c r="G68" s="10" t="n">
        <v>0</v>
      </c>
      <c r="H68" s="11" t="n">
        <v>0.395833333333333</v>
      </c>
      <c r="I68" s="11" t="n">
        <v>0.395833333333333</v>
      </c>
      <c r="J68" s="10" t="s">
        <v>80</v>
      </c>
      <c r="K68" s="10"/>
    </row>
    <row r="69" customFormat="false" ht="33.75" hidden="false" customHeight="true" outlineLevel="0" collapsed="false">
      <c r="A69" s="12" t="s">
        <v>30</v>
      </c>
      <c r="B69" s="12" t="n">
        <v>1</v>
      </c>
      <c r="C69" s="12" t="s">
        <v>141</v>
      </c>
      <c r="D69" s="12" t="s">
        <v>52</v>
      </c>
      <c r="E69" s="12" t="s">
        <v>142</v>
      </c>
      <c r="F69" s="12" t="s">
        <v>143</v>
      </c>
      <c r="G69" s="12" t="n">
        <v>75</v>
      </c>
      <c r="H69" s="13" t="n">
        <f aca="false">I68+G69/1440+0/1440</f>
        <v>0.447916666666667</v>
      </c>
      <c r="I69" s="13" t="n">
        <f aca="false">H69+20/1440</f>
        <v>0.461805555555556</v>
      </c>
      <c r="J69" s="12" t="s">
        <v>54</v>
      </c>
      <c r="K69" s="14" t="s">
        <v>55</v>
      </c>
    </row>
    <row r="70" customFormat="false" ht="33.75" hidden="false" customHeight="true" outlineLevel="0" collapsed="false">
      <c r="A70" s="12" t="s">
        <v>30</v>
      </c>
      <c r="B70" s="12" t="n">
        <v>2</v>
      </c>
      <c r="C70" s="12" t="s">
        <v>144</v>
      </c>
      <c r="D70" s="12" t="s">
        <v>52</v>
      </c>
      <c r="E70" s="12" t="s">
        <v>145</v>
      </c>
      <c r="F70" s="12" t="s">
        <v>146</v>
      </c>
      <c r="G70" s="12" t="n">
        <v>25</v>
      </c>
      <c r="H70" s="13" t="n">
        <f aca="false">I69+G70/1440+0/1440</f>
        <v>0.479166666666667</v>
      </c>
      <c r="I70" s="13" t="n">
        <f aca="false">H70+20/1440</f>
        <v>0.493055555555556</v>
      </c>
      <c r="J70" s="12" t="s">
        <v>54</v>
      </c>
      <c r="K70" s="14" t="s">
        <v>55</v>
      </c>
    </row>
    <row r="71" customFormat="false" ht="33.75" hidden="false" customHeight="true" outlineLevel="0" collapsed="false">
      <c r="A71" s="12" t="s">
        <v>30</v>
      </c>
      <c r="B71" s="12" t="n">
        <v>3</v>
      </c>
      <c r="C71" s="12" t="s">
        <v>147</v>
      </c>
      <c r="D71" s="12" t="s">
        <v>52</v>
      </c>
      <c r="E71" s="12" t="s">
        <v>148</v>
      </c>
      <c r="F71" s="12" t="s">
        <v>149</v>
      </c>
      <c r="G71" s="12" t="n">
        <v>40</v>
      </c>
      <c r="H71" s="13" t="n">
        <f aca="false">I70+G71/1440+0/1440</f>
        <v>0.520833333333333</v>
      </c>
      <c r="I71" s="13" t="n">
        <f aca="false">H71+20/1440</f>
        <v>0.534722222222222</v>
      </c>
      <c r="J71" s="12" t="s">
        <v>54</v>
      </c>
      <c r="K71" s="14" t="s">
        <v>55</v>
      </c>
    </row>
    <row r="72" customFormat="false" ht="33.75" hidden="false" customHeight="true" outlineLevel="0" collapsed="false">
      <c r="A72" s="12" t="s">
        <v>30</v>
      </c>
      <c r="B72" s="12" t="n">
        <v>4</v>
      </c>
      <c r="C72" s="12" t="s">
        <v>150</v>
      </c>
      <c r="D72" s="12" t="s">
        <v>57</v>
      </c>
      <c r="E72" s="12" t="s">
        <v>151</v>
      </c>
      <c r="F72" s="12" t="s">
        <v>152</v>
      </c>
      <c r="G72" s="12" t="n">
        <v>67</v>
      </c>
      <c r="H72" s="13" t="n">
        <f aca="false">I71+G72/1440+0/1440</f>
        <v>0.58125</v>
      </c>
      <c r="I72" s="13" t="n">
        <f aca="false">H72+20/1440</f>
        <v>0.595138888888889</v>
      </c>
      <c r="J72" s="15" t="s">
        <v>60</v>
      </c>
      <c r="K72" s="14" t="s">
        <v>55</v>
      </c>
    </row>
    <row r="73" customFormat="false" ht="15" hidden="false" customHeight="false" outlineLevel="0" collapsed="false">
      <c r="A73" s="10" t="s">
        <v>30</v>
      </c>
      <c r="B73" s="10" t="s">
        <v>78</v>
      </c>
      <c r="C73" s="10" t="s">
        <v>2</v>
      </c>
      <c r="D73" s="10"/>
      <c r="E73" s="10" t="s">
        <v>79</v>
      </c>
      <c r="F73" s="10" t="s">
        <v>49</v>
      </c>
      <c r="G73" s="10" t="n">
        <v>132</v>
      </c>
      <c r="H73" s="11" t="n">
        <f aca="false">I72+G73/1440+30/1440</f>
        <v>0.707638888888889</v>
      </c>
      <c r="I73" s="11" t="n">
        <f aca="false">H73</f>
        <v>0.707638888888889</v>
      </c>
      <c r="J73" s="16" t="str">
        <f aca="false">IF(H73&gt;TIME(17,30,0),"Inclusief lunch van 30 min | LET OP: na 17:30 terug, zie Aandachtspunten","Inclusief lunch van 30 min")</f>
        <v>Inclusief lunch van 30 min</v>
      </c>
      <c r="K73" s="10"/>
    </row>
    <row r="75" customFormat="false" ht="15" hidden="false" customHeight="false" outlineLevel="0" collapsed="false">
      <c r="A75" s="10" t="s">
        <v>33</v>
      </c>
      <c r="B75" s="10" t="s">
        <v>47</v>
      </c>
      <c r="C75" s="10" t="s">
        <v>2</v>
      </c>
      <c r="D75" s="10"/>
      <c r="E75" s="10" t="s">
        <v>48</v>
      </c>
      <c r="F75" s="10" t="s">
        <v>49</v>
      </c>
      <c r="G75" s="10" t="n">
        <v>0</v>
      </c>
      <c r="H75" s="11" t="n">
        <v>0.395833333333333</v>
      </c>
      <c r="I75" s="11" t="n">
        <v>0.395833333333333</v>
      </c>
      <c r="J75" s="10" t="s">
        <v>80</v>
      </c>
      <c r="K75" s="10"/>
    </row>
    <row r="76" customFormat="false" ht="33.75" hidden="false" customHeight="true" outlineLevel="0" collapsed="false">
      <c r="A76" s="12" t="s">
        <v>33</v>
      </c>
      <c r="B76" s="12" t="n">
        <v>1</v>
      </c>
      <c r="C76" s="12" t="s">
        <v>153</v>
      </c>
      <c r="D76" s="12" t="s">
        <v>75</v>
      </c>
      <c r="E76" s="12" t="s">
        <v>154</v>
      </c>
      <c r="F76" s="12" t="s">
        <v>155</v>
      </c>
      <c r="G76" s="12" t="n">
        <v>38</v>
      </c>
      <c r="H76" s="13" t="n">
        <f aca="false">I75+G76/1440+0/1440</f>
        <v>0.422222222222222</v>
      </c>
      <c r="I76" s="13" t="n">
        <f aca="false">H76+20/1440</f>
        <v>0.436111111111111</v>
      </c>
      <c r="J76" s="12" t="s">
        <v>54</v>
      </c>
      <c r="K76" s="14" t="s">
        <v>55</v>
      </c>
    </row>
    <row r="77" customFormat="false" ht="33.75" hidden="false" customHeight="true" outlineLevel="0" collapsed="false">
      <c r="A77" s="12" t="s">
        <v>33</v>
      </c>
      <c r="B77" s="12" t="n">
        <v>2</v>
      </c>
      <c r="C77" s="12" t="s">
        <v>156</v>
      </c>
      <c r="D77" s="12" t="s">
        <v>75</v>
      </c>
      <c r="E77" s="12" t="s">
        <v>157</v>
      </c>
      <c r="F77" s="12" t="s">
        <v>158</v>
      </c>
      <c r="G77" s="12" t="n">
        <v>31</v>
      </c>
      <c r="H77" s="13" t="n">
        <f aca="false">I76+G77/1440+0/1440</f>
        <v>0.457638888888889</v>
      </c>
      <c r="I77" s="13" t="n">
        <f aca="false">H77+20/1440</f>
        <v>0.471527777777778</v>
      </c>
      <c r="J77" s="12" t="s">
        <v>54</v>
      </c>
      <c r="K77" s="14" t="s">
        <v>55</v>
      </c>
    </row>
    <row r="78" customFormat="false" ht="33.75" hidden="false" customHeight="true" outlineLevel="0" collapsed="false">
      <c r="A78" s="12" t="s">
        <v>33</v>
      </c>
      <c r="B78" s="12" t="n">
        <v>3</v>
      </c>
      <c r="C78" s="12" t="s">
        <v>159</v>
      </c>
      <c r="D78" s="12" t="s">
        <v>75</v>
      </c>
      <c r="E78" s="12" t="s">
        <v>160</v>
      </c>
      <c r="F78" s="12" t="s">
        <v>49</v>
      </c>
      <c r="G78" s="12" t="n">
        <v>17</v>
      </c>
      <c r="H78" s="13" t="n">
        <f aca="false">I77+G78/1440+0/1440</f>
        <v>0.483333333333333</v>
      </c>
      <c r="I78" s="13" t="n">
        <f aca="false">H78+20/1440</f>
        <v>0.497222222222222</v>
      </c>
      <c r="J78" s="12" t="s">
        <v>54</v>
      </c>
      <c r="K78" s="14" t="s">
        <v>55</v>
      </c>
    </row>
    <row r="79" customFormat="false" ht="33.75" hidden="false" customHeight="true" outlineLevel="0" collapsed="false">
      <c r="A79" s="12" t="s">
        <v>33</v>
      </c>
      <c r="B79" s="12" t="n">
        <v>4</v>
      </c>
      <c r="C79" s="12" t="s">
        <v>161</v>
      </c>
      <c r="D79" s="12" t="s">
        <v>75</v>
      </c>
      <c r="E79" s="12" t="s">
        <v>162</v>
      </c>
      <c r="F79" s="12" t="s">
        <v>49</v>
      </c>
      <c r="G79" s="12" t="n">
        <v>22</v>
      </c>
      <c r="H79" s="13" t="n">
        <f aca="false">I78+G79/1440+0/1440</f>
        <v>0.5125</v>
      </c>
      <c r="I79" s="13" t="n">
        <f aca="false">H79+20/1440</f>
        <v>0.526388888888889</v>
      </c>
      <c r="J79" s="12" t="s">
        <v>54</v>
      </c>
      <c r="K79" s="14" t="s">
        <v>55</v>
      </c>
    </row>
    <row r="80" customFormat="false" ht="33.75" hidden="false" customHeight="true" outlineLevel="0" collapsed="false">
      <c r="A80" s="12" t="s">
        <v>33</v>
      </c>
      <c r="B80" s="12" t="n">
        <v>5</v>
      </c>
      <c r="C80" s="12" t="s">
        <v>163</v>
      </c>
      <c r="D80" s="12" t="s">
        <v>75</v>
      </c>
      <c r="E80" s="12" t="s">
        <v>164</v>
      </c>
      <c r="F80" s="12" t="s">
        <v>165</v>
      </c>
      <c r="G80" s="12" t="n">
        <v>23</v>
      </c>
      <c r="H80" s="13" t="n">
        <f aca="false">I79+G80/1440+30/1440</f>
        <v>0.563194444444444</v>
      </c>
      <c r="I80" s="13" t="n">
        <f aca="false">H80+20/1440</f>
        <v>0.577083333333333</v>
      </c>
      <c r="J80" s="12" t="s">
        <v>54</v>
      </c>
      <c r="K80" s="14" t="s">
        <v>55</v>
      </c>
    </row>
    <row r="81" customFormat="false" ht="33.75" hidden="false" customHeight="true" outlineLevel="0" collapsed="false">
      <c r="A81" s="12" t="s">
        <v>33</v>
      </c>
      <c r="B81" s="12" t="n">
        <v>6</v>
      </c>
      <c r="C81" s="12" t="s">
        <v>166</v>
      </c>
      <c r="D81" s="12" t="s">
        <v>75</v>
      </c>
      <c r="E81" s="12" t="s">
        <v>167</v>
      </c>
      <c r="F81" s="12" t="s">
        <v>49</v>
      </c>
      <c r="G81" s="12" t="n">
        <v>27</v>
      </c>
      <c r="H81" s="13" t="n">
        <f aca="false">I80+G81/1440+0/1440</f>
        <v>0.595833333333333</v>
      </c>
      <c r="I81" s="13" t="n">
        <f aca="false">H81+20/1440</f>
        <v>0.609722222222222</v>
      </c>
      <c r="J81" s="12" t="s">
        <v>54</v>
      </c>
      <c r="K81" s="14" t="s">
        <v>55</v>
      </c>
    </row>
    <row r="82" customFormat="false" ht="15" hidden="false" customHeight="false" outlineLevel="0" collapsed="false">
      <c r="A82" s="10" t="s">
        <v>33</v>
      </c>
      <c r="B82" s="10" t="s">
        <v>78</v>
      </c>
      <c r="C82" s="10" t="s">
        <v>2</v>
      </c>
      <c r="D82" s="10"/>
      <c r="E82" s="10" t="s">
        <v>79</v>
      </c>
      <c r="F82" s="10" t="s">
        <v>49</v>
      </c>
      <c r="G82" s="10" t="n">
        <v>14</v>
      </c>
      <c r="H82" s="11" t="n">
        <f aca="false">I81+G82/1440+0/1440</f>
        <v>0.619444444444445</v>
      </c>
      <c r="I82" s="11" t="n">
        <f aca="false">H82</f>
        <v>0.619444444444445</v>
      </c>
      <c r="J82" s="16" t="str">
        <f aca="false">IF(H82&gt;TIME(17,30,0),"Inclusief lunch van 30 min | LET OP: na 17:30 terug, zie Aandachtspunten","Inclusief lunch van 30 min")</f>
        <v>Inclusief lunch van 30 min</v>
      </c>
      <c r="K82" s="10"/>
    </row>
    <row r="85" customFormat="false" ht="15" hidden="false" customHeight="false" outlineLevel="0" collapsed="false">
      <c r="A85" s="9" t="s">
        <v>168</v>
      </c>
      <c r="B85" s="9"/>
      <c r="C85" s="9"/>
      <c r="D85" s="9"/>
      <c r="E85" s="9"/>
      <c r="F85" s="9"/>
      <c r="G85" s="9"/>
      <c r="H85" s="9"/>
      <c r="I85" s="9"/>
      <c r="J85" s="9"/>
      <c r="K85" s="9"/>
    </row>
    <row r="86" customFormat="false" ht="15" hidden="false" customHeight="false" outlineLevel="0" collapsed="false">
      <c r="A86" s="6" t="s">
        <v>169</v>
      </c>
      <c r="B86" s="6" t="s">
        <v>19</v>
      </c>
      <c r="C86" s="6" t="s">
        <v>38</v>
      </c>
      <c r="D86" s="6" t="s">
        <v>39</v>
      </c>
      <c r="E86" s="6" t="s">
        <v>170</v>
      </c>
      <c r="F86" s="6" t="s">
        <v>41</v>
      </c>
      <c r="G86" s="6"/>
      <c r="H86" s="6" t="s">
        <v>43</v>
      </c>
      <c r="I86" s="6"/>
      <c r="J86" s="6" t="s">
        <v>171</v>
      </c>
    </row>
    <row r="87" customFormat="false" ht="15" hidden="false" customHeight="false" outlineLevel="0" collapsed="false">
      <c r="A87" s="12" t="s">
        <v>30</v>
      </c>
      <c r="B87" s="12" t="str">
        <f aca="false">IFERROR(CHOOSE(COUNTIF($A$1:INDEX($A$1:$A$84,MATCH(C87,$C$1:$C$84,0)),"DAG *"),"Dinsdag","Woensdag","Donderdag"),"Niet ingepland")</f>
        <v>Woensdag</v>
      </c>
      <c r="C87" s="21" t="s">
        <v>106</v>
      </c>
      <c r="D87" s="12" t="s">
        <v>52</v>
      </c>
      <c r="E87" s="12" t="str">
        <f aca="false">IF(ISNUMBER(MATCH(C87,$C$1:$C$84,0)),"Ingepland","Niet ingepland | Yasmijn plant zelf in")</f>
        <v>Ingepland</v>
      </c>
      <c r="F87" s="12" t="s">
        <v>49</v>
      </c>
      <c r="G87" s="12"/>
      <c r="H87" s="13" t="n">
        <f aca="false">IFERROR(INDEX($H$1:$H$84,MATCH(C87,$C$1:$C$84,0)),"")</f>
        <v>0.405555555555556</v>
      </c>
      <c r="I87" s="12"/>
      <c r="J87" s="12" t="s">
        <v>172</v>
      </c>
    </row>
    <row r="88" customFormat="false" ht="15" hidden="false" customHeight="false" outlineLevel="0" collapsed="false">
      <c r="A88" s="12" t="s">
        <v>30</v>
      </c>
      <c r="B88" s="12" t="str">
        <f aca="false">IFERROR(CHOOSE(COUNTIF($A$1:INDEX($A$1:$A$84,MATCH(C88,$C$1:$C$84,0)),"DAG *"),"Dinsdag","Woensdag","Donderdag"),"Niet ingepland")</f>
        <v>Woensdag</v>
      </c>
      <c r="C88" s="21" t="s">
        <v>109</v>
      </c>
      <c r="D88" s="12" t="s">
        <v>52</v>
      </c>
      <c r="E88" s="12" t="str">
        <f aca="false">IF(ISNUMBER(MATCH(C88,$C$1:$C$84,0)),"Ingepland","Niet ingepland | Yasmijn plant zelf in")</f>
        <v>Ingepland</v>
      </c>
      <c r="F88" s="12" t="s">
        <v>49</v>
      </c>
      <c r="G88" s="12"/>
      <c r="H88" s="13" t="n">
        <f aca="false">IFERROR(INDEX($H$1:$H$84,MATCH(C88,$C$1:$C$84,0)),"")</f>
        <v>0.428472222222222</v>
      </c>
      <c r="I88" s="12"/>
      <c r="J88" s="12" t="s">
        <v>172</v>
      </c>
    </row>
    <row r="89" customFormat="false" ht="15" hidden="false" customHeight="false" outlineLevel="0" collapsed="false">
      <c r="A89" s="12" t="s">
        <v>30</v>
      </c>
      <c r="B89" s="12" t="str">
        <f aca="false">IFERROR(CHOOSE(COUNTIF($A$1:INDEX($A$1:$A$84,MATCH(C89,$C$1:$C$84,0)),"DAG *"),"Dinsdag","Woensdag","Donderdag"),"Niet ingepland")</f>
        <v>Woensdag</v>
      </c>
      <c r="C89" s="21" t="s">
        <v>111</v>
      </c>
      <c r="D89" s="12" t="s">
        <v>52</v>
      </c>
      <c r="E89" s="12" t="str">
        <f aca="false">IF(ISNUMBER(MATCH(C89,$C$1:$C$84,0)),"Ingepland","Niet ingepland | Yasmijn plant zelf in")</f>
        <v>Ingepland</v>
      </c>
      <c r="F89" s="12" t="s">
        <v>49</v>
      </c>
      <c r="G89" s="12"/>
      <c r="H89" s="13" t="n">
        <f aca="false">IFERROR(INDEX($H$1:$H$84,MATCH(C89,$C$1:$C$84,0)),"")</f>
        <v>0.449305555555556</v>
      </c>
      <c r="I89" s="12"/>
      <c r="J89" s="12" t="s">
        <v>172</v>
      </c>
    </row>
    <row r="90" customFormat="false" ht="28.35" hidden="false" customHeight="false" outlineLevel="0" collapsed="false">
      <c r="A90" s="12" t="s">
        <v>30</v>
      </c>
      <c r="B90" s="12" t="str">
        <f aca="false">IFERROR(CHOOSE(COUNTIF($A$1:INDEX($A$1:$A$84,MATCH(C90,$C$1:$C$84,0)),"DAG *"),"Dinsdag","Woensdag","Donderdag"),"Niet ingepland")</f>
        <v>Niet ingepland</v>
      </c>
      <c r="C90" s="21" t="s">
        <v>173</v>
      </c>
      <c r="D90" s="12" t="s">
        <v>75</v>
      </c>
      <c r="E90" s="23" t="str">
        <f aca="false">IF(ISNUMBER(MATCH(C90,$C$1:$C$84,0)),"Ingepland","Niet ingepland | Yasmijn plant zelf in")</f>
        <v>Niet ingepland | Yasmijn plant zelf in</v>
      </c>
      <c r="F90" s="12" t="s">
        <v>49</v>
      </c>
      <c r="G90" s="12"/>
      <c r="H90" s="13" t="str">
        <f aca="false">IFERROR(INDEX($H$1:$H$84,MATCH(C90,$C$1:$C$84,0)),"")</f>
        <v/>
      </c>
      <c r="I90" s="12"/>
      <c r="J90" s="12" t="s">
        <v>174</v>
      </c>
    </row>
    <row r="91" customFormat="false" ht="28.35" hidden="false" customHeight="false" outlineLevel="0" collapsed="false">
      <c r="A91" s="12" t="s">
        <v>30</v>
      </c>
      <c r="B91" s="12" t="str">
        <f aca="false">IFERROR(CHOOSE(COUNTIF($A$1:INDEX($A$1:$A$84,MATCH(C91,$C$1:$C$84,0)),"DAG *"),"Dinsdag","Woensdag","Donderdag"),"Niet ingepland")</f>
        <v>Niet ingepland</v>
      </c>
      <c r="C91" s="21" t="s">
        <v>175</v>
      </c>
      <c r="D91" s="12" t="s">
        <v>52</v>
      </c>
      <c r="E91" s="23" t="str">
        <f aca="false">IF(ISNUMBER(MATCH(C91,$C$1:$C$84,0)),"Ingepland","Niet ingepland | Yasmijn plant zelf in")</f>
        <v>Niet ingepland | Yasmijn plant zelf in</v>
      </c>
      <c r="F91" s="12" t="s">
        <v>139</v>
      </c>
      <c r="G91" s="12"/>
      <c r="H91" s="13" t="str">
        <f aca="false">IFERROR(INDEX($H$1:$H$84,MATCH(C91,$C$1:$C$84,0)),"")</f>
        <v/>
      </c>
      <c r="I91" s="12"/>
      <c r="J91" s="12" t="s">
        <v>176</v>
      </c>
    </row>
    <row r="93" customFormat="false" ht="15" hidden="false" customHeight="false" outlineLevel="0" collapsed="false">
      <c r="A93" s="9" t="s">
        <v>177</v>
      </c>
      <c r="B93" s="9"/>
      <c r="C93" s="9"/>
      <c r="D93" s="9"/>
      <c r="E93" s="9"/>
      <c r="F93" s="9"/>
      <c r="G93" s="9"/>
      <c r="H93" s="9"/>
      <c r="I93" s="9"/>
      <c r="J93" s="9"/>
      <c r="K93" s="9"/>
    </row>
    <row r="94" customFormat="false" ht="15" hidden="false" customHeight="false" outlineLevel="0" collapsed="false">
      <c r="A94" s="24" t="s">
        <v>178</v>
      </c>
      <c r="B94" s="0" t="s">
        <v>179</v>
      </c>
    </row>
    <row r="95" customFormat="false" ht="15" hidden="false" customHeight="false" outlineLevel="0" collapsed="false">
      <c r="A95" s="24" t="s">
        <v>180</v>
      </c>
      <c r="B95" s="0" t="s">
        <v>181</v>
      </c>
    </row>
    <row r="96" customFormat="false" ht="28.35" hidden="false" customHeight="false" outlineLevel="0" collapsed="false">
      <c r="A96" s="24" t="s">
        <v>182</v>
      </c>
      <c r="B96" s="0" t="s">
        <v>183</v>
      </c>
    </row>
    <row r="97" customFormat="false" ht="15" hidden="false" customHeight="false" outlineLevel="0" collapsed="false">
      <c r="A97" s="24" t="s">
        <v>184</v>
      </c>
      <c r="B97" s="0" t="s">
        <v>185</v>
      </c>
    </row>
    <row r="98" customFormat="false" ht="15" hidden="false" customHeight="false" outlineLevel="0" collapsed="false">
      <c r="A98" s="24" t="s">
        <v>150</v>
      </c>
      <c r="B98" s="0" t="s">
        <v>186</v>
      </c>
    </row>
    <row r="99" customFormat="false" ht="15" hidden="false" customHeight="false" outlineLevel="0" collapsed="false">
      <c r="A99" s="24" t="s">
        <v>187</v>
      </c>
      <c r="B99" s="0" t="s">
        <v>188</v>
      </c>
    </row>
    <row r="100" customFormat="false" ht="15" hidden="false" customHeight="false" outlineLevel="0" collapsed="false">
      <c r="A100" s="24" t="s">
        <v>131</v>
      </c>
      <c r="B100" s="0" t="s">
        <v>189</v>
      </c>
    </row>
    <row r="101" customFormat="false" ht="15" hidden="false" customHeight="false" outlineLevel="0" collapsed="false">
      <c r="A101" s="24" t="s">
        <v>190</v>
      </c>
      <c r="B101" s="0" t="s">
        <v>191</v>
      </c>
    </row>
  </sheetData>
  <conditionalFormatting sqref="H28:I28">
    <cfRule type="cellIs" priority="2" operator="greaterThan" aboveAverage="0" equalAverage="0" bottom="0" percent="0" rank="0" text="" dxfId="0">
      <formula>TIME(17,30,0)</formula>
    </cfRule>
  </conditionalFormatting>
  <conditionalFormatting sqref="H36">
    <cfRule type="cellIs" priority="3" operator="greaterThan" aboveAverage="0" equalAverage="0" bottom="0" percent="0" rank="0" text="" dxfId="0">
      <formula>TIME(12,45,0)</formula>
    </cfRule>
  </conditionalFormatting>
  <conditionalFormatting sqref="H41:I41">
    <cfRule type="cellIs" priority="4" operator="greaterThan" aboveAverage="0" equalAverage="0" bottom="0" percent="0" rank="0" text="" dxfId="0">
      <formula>TIME(17,30,0)</formula>
    </cfRule>
  </conditionalFormatting>
  <conditionalFormatting sqref="H53:I53">
    <cfRule type="cellIs" priority="5" operator="greaterThan" aboveAverage="0" equalAverage="0" bottom="0" percent="0" rank="0" text="" dxfId="0">
      <formula>TIME(17,30,0)</formula>
    </cfRule>
  </conditionalFormatting>
  <conditionalFormatting sqref="H63:I63">
    <cfRule type="cellIs" priority="6" operator="greaterThan" aboveAverage="0" equalAverage="0" bottom="0" percent="0" rank="0" text="" dxfId="0">
      <formula>TIME(17,30,0)</formula>
    </cfRule>
  </conditionalFormatting>
  <conditionalFormatting sqref="H73:I73">
    <cfRule type="cellIs" priority="7" operator="greaterThan" aboveAverage="0" equalAverage="0" bottom="0" percent="0" rank="0" text="" dxfId="0">
      <formula>TIME(17,30,0)</formula>
    </cfRule>
  </conditionalFormatting>
  <conditionalFormatting sqref="H82:I82">
    <cfRule type="cellIs" priority="8" operator="greaterThan" aboveAverage="0" equalAverage="0" bottom="0" percent="0" rank="0" text="" dxfId="0">
      <formula>TIME(17,30,0)</formula>
    </cfRule>
  </conditionalFormatting>
  <conditionalFormatting sqref="J9:J14">
    <cfRule type="cellIs" priority="9" operator="equal" aboveAverage="0" equalAverage="0" bottom="0" percent="0" rank="0" text="" dxfId="0">
      <formula>"NEE"</formula>
    </cfRule>
    <cfRule type="cellIs" priority="10" operator="equal" aboveAverage="0" equalAverage="0" bottom="0" percent="0" rank="0" text="" dxfId="1">
      <formula>"JA"</formula>
    </cfRule>
  </conditionalFormatting>
  <conditionalFormatting sqref="I9:I14">
    <cfRule type="cellIs" priority="11" operator="greaterThan" aboveAverage="0" equalAverage="0" bottom="0" percent="0" rank="0" text="" dxfId="0">
      <formula>TIME(17,30,0)</formula>
    </cfRule>
  </conditionalFormatting>
  <hyperlinks>
    <hyperlink ref="K20" r:id="rId1" display="Open adres"/>
    <hyperlink ref="K21" r:id="rId2" display="Open adres"/>
    <hyperlink ref="K22" r:id="rId3" display="Open adres"/>
    <hyperlink ref="K23" r:id="rId4" display="Open adres"/>
    <hyperlink ref="K24" r:id="rId5" display="Open adres"/>
    <hyperlink ref="K25" r:id="rId6" display="Open adres"/>
    <hyperlink ref="K26" r:id="rId7" display="Open adres"/>
    <hyperlink ref="K27" r:id="rId8" display="Open adres"/>
    <hyperlink ref="K31" r:id="rId9" display="Open adres"/>
    <hyperlink ref="K32" r:id="rId10" display="Open adres"/>
    <hyperlink ref="K33" r:id="rId11" display="Open adres"/>
    <hyperlink ref="K34" r:id="rId12" display="Open adres"/>
    <hyperlink ref="K35" r:id="rId13" display="Open adres"/>
    <hyperlink ref="K36" r:id="rId14" display="Open adres"/>
    <hyperlink ref="K37" r:id="rId15" display="Open adres"/>
    <hyperlink ref="K38" r:id="rId16" display="Open adres"/>
    <hyperlink ref="K39" r:id="rId17" display="Open adres"/>
    <hyperlink ref="K40" r:id="rId18" display="Open adres"/>
    <hyperlink ref="K47" r:id="rId19" display="Open adres"/>
    <hyperlink ref="K48" r:id="rId20" display="Open adres"/>
    <hyperlink ref="K49" r:id="rId21" display="Open adres"/>
    <hyperlink ref="K50" r:id="rId22" display="Open adres"/>
    <hyperlink ref="K51" r:id="rId23" display="Open adres"/>
    <hyperlink ref="K52" r:id="rId24" display="Open adres"/>
    <hyperlink ref="K56" r:id="rId25" display="Open adres"/>
    <hyperlink ref="K57" r:id="rId26" display="Open adres"/>
    <hyperlink ref="K58" r:id="rId27" display="Open adres"/>
    <hyperlink ref="K59" r:id="rId28" display="Open adres"/>
    <hyperlink ref="K60" r:id="rId29" display="Open adres"/>
    <hyperlink ref="K61" r:id="rId30" display="Open adres"/>
    <hyperlink ref="K62" r:id="rId31" display="Open adres"/>
    <hyperlink ref="K69" r:id="rId32" display="Open adres"/>
    <hyperlink ref="K70" r:id="rId33" display="Open adres"/>
    <hyperlink ref="K71" r:id="rId34" display="Open adres"/>
    <hyperlink ref="K72" r:id="rId35" display="Open adres"/>
    <hyperlink ref="K76" r:id="rId36" display="Open adres"/>
    <hyperlink ref="K77" r:id="rId37" display="Open adres"/>
    <hyperlink ref="K78" r:id="rId38" display="Open adres"/>
    <hyperlink ref="K79" r:id="rId39" display="Open adres"/>
    <hyperlink ref="K80" r:id="rId40" display="Open adres"/>
    <hyperlink ref="K81" r:id="rId41" display="Open adre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4.83"/>
  </cols>
  <sheetData>
    <row r="1" customFormat="false" ht="16.5" hidden="false" customHeight="true" outlineLevel="0" collapsed="false">
      <c r="A1" s="25" t="s">
        <v>192</v>
      </c>
      <c r="B1" s="25" t="s">
        <v>193</v>
      </c>
      <c r="E1" s="26"/>
    </row>
    <row r="2" customFormat="false" ht="16.5" hidden="false" customHeight="true" outlineLevel="0" collapsed="false">
      <c r="A2" s="25" t="s">
        <v>194</v>
      </c>
      <c r="B2" s="25" t="s">
        <v>193</v>
      </c>
      <c r="E2" s="26"/>
    </row>
    <row r="3" customFormat="false" ht="16.5" hidden="false" customHeight="true" outlineLevel="0" collapsed="false">
      <c r="A3" s="25" t="s">
        <v>195</v>
      </c>
      <c r="B3" s="25" t="s">
        <v>196</v>
      </c>
      <c r="E3" s="26"/>
    </row>
    <row r="4" customFormat="false" ht="16.5" hidden="false" customHeight="true" outlineLevel="0" collapsed="false">
      <c r="A4" s="25" t="s">
        <v>197</v>
      </c>
      <c r="B4" s="25" t="s">
        <v>193</v>
      </c>
      <c r="E4" s="26"/>
    </row>
    <row r="5" customFormat="false" ht="16.5" hidden="false" customHeight="true" outlineLevel="0" collapsed="false">
      <c r="A5" s="25" t="s">
        <v>198</v>
      </c>
      <c r="B5" s="25" t="s">
        <v>193</v>
      </c>
      <c r="E5" s="26"/>
    </row>
    <row r="6" customFormat="false" ht="15" hidden="false" customHeight="false" outlineLevel="0" collapsed="false">
      <c r="A6" s="0" t="s">
        <v>199</v>
      </c>
      <c r="B6" s="27" t="s">
        <v>193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R47"/>
  <sheetViews>
    <sheetView showFormulas="false" showGridLines="true" showRowColHeaders="true" showZeros="true" rightToLeft="false" tabSelected="false" showOutlineSymbols="true" defaultGridColor="true" view="normal" topLeftCell="C4" colorId="64" zoomScale="100" zoomScaleNormal="100" zoomScalePageLayoutView="100" workbookViewId="0">
      <selection pane="topLeft" activeCell="T23" activeCellId="0" sqref="T23"/>
    </sheetView>
  </sheetViews>
  <sheetFormatPr defaultColWidth="8.83203125" defaultRowHeight="15" zeroHeight="false" outlineLevelRow="0" outlineLevelCol="0"/>
  <cols>
    <col collapsed="false" customWidth="true" hidden="false" outlineLevel="0" max="2" min="2" style="0" width="6.33"/>
    <col collapsed="false" customWidth="true" hidden="false" outlineLevel="0" max="3" min="3" style="0" width="24.51"/>
    <col collapsed="false" customWidth="true" hidden="false" outlineLevel="0" max="5" min="5" style="0" width="15.83"/>
    <col collapsed="false" customWidth="true" hidden="false" outlineLevel="0" max="13" min="13" style="0" width="25.51"/>
    <col collapsed="false" customWidth="true" hidden="false" outlineLevel="0" max="14" min="14" style="0" width="11.16"/>
    <col collapsed="false" customWidth="true" hidden="false" outlineLevel="0" max="15" min="15" style="0" width="16"/>
    <col collapsed="false" customWidth="true" hidden="false" outlineLevel="0" max="18" min="18" style="0" width="12.83"/>
  </cols>
  <sheetData>
    <row r="2" customFormat="false" ht="18.75" hidden="false" customHeight="true" outlineLevel="0" collapsed="false">
      <c r="B2" s="28" t="s">
        <v>200</v>
      </c>
      <c r="C2" s="28"/>
      <c r="D2" s="28"/>
      <c r="E2" s="28" t="s">
        <v>201</v>
      </c>
      <c r="F2" s="28" t="s">
        <v>201</v>
      </c>
      <c r="G2" s="29"/>
      <c r="H2" s="29"/>
      <c r="I2" s="29"/>
    </row>
    <row r="3" customFormat="false" ht="15" hidden="false" customHeight="false" outlineLevel="0" collapsed="false">
      <c r="B3" s="29" t="s">
        <v>202</v>
      </c>
      <c r="C3" s="29"/>
      <c r="D3" s="29"/>
      <c r="E3" s="29"/>
      <c r="F3" s="29"/>
      <c r="G3" s="29"/>
      <c r="H3" s="29"/>
      <c r="I3" s="29"/>
      <c r="J3" s="30"/>
    </row>
    <row r="4" customFormat="false" ht="15" hidden="false" customHeight="false" outlineLevel="0" collapsed="false">
      <c r="B4" s="29"/>
      <c r="C4" s="29"/>
      <c r="D4" s="29"/>
      <c r="E4" s="29"/>
      <c r="F4" s="29"/>
      <c r="G4" s="29"/>
      <c r="H4" s="29"/>
      <c r="I4" s="29"/>
      <c r="J4" s="30"/>
    </row>
    <row r="5" customFormat="false" ht="15" hidden="false" customHeight="false" outlineLevel="0" collapsed="false">
      <c r="B5" s="31" t="s">
        <v>203</v>
      </c>
      <c r="C5" s="31" t="s">
        <v>38</v>
      </c>
      <c r="D5" s="31" t="s">
        <v>39</v>
      </c>
      <c r="E5" s="31" t="s">
        <v>18</v>
      </c>
      <c r="F5" s="31" t="s">
        <v>19</v>
      </c>
      <c r="G5" s="29"/>
      <c r="H5" s="31" t="s">
        <v>13</v>
      </c>
      <c r="I5" s="31" t="s">
        <v>20</v>
      </c>
      <c r="J5" s="30"/>
      <c r="L5" s="31" t="s">
        <v>203</v>
      </c>
      <c r="M5" s="31" t="s">
        <v>38</v>
      </c>
      <c r="N5" s="31" t="s">
        <v>39</v>
      </c>
      <c r="O5" s="31" t="s">
        <v>18</v>
      </c>
      <c r="P5" s="31" t="s">
        <v>19</v>
      </c>
    </row>
    <row r="6" customFormat="false" ht="15" hidden="false" customHeight="false" outlineLevel="0" collapsed="false">
      <c r="B6" s="29" t="n">
        <v>1</v>
      </c>
      <c r="C6" s="29" t="s">
        <v>116</v>
      </c>
      <c r="D6" s="32" t="s">
        <v>52</v>
      </c>
      <c r="E6" s="33" t="s">
        <v>30</v>
      </c>
      <c r="F6" s="29" t="n">
        <v>1</v>
      </c>
      <c r="G6" s="29"/>
      <c r="H6" s="32" t="s">
        <v>52</v>
      </c>
      <c r="I6" s="29" t="n">
        <v>15</v>
      </c>
      <c r="L6" s="29" t="n">
        <v>1</v>
      </c>
      <c r="M6" s="29" t="s">
        <v>116</v>
      </c>
      <c r="N6" s="32" t="s">
        <v>52</v>
      </c>
      <c r="O6" s="33" t="s">
        <v>30</v>
      </c>
      <c r="P6" s="29" t="str">
        <f aca="false">IFERROR(CHOOSE(COUNTIF('Door2Door| Paylogic'!$A$1:INDEX('Door2Door| Paylogic'!$A$1:$A$84,MATCH(M6,'Door2Door| Paylogic'!$C$1:$C$84,0)),"DAG *"),"Dinsdag","Woensdag","Donderdag"),"Niet ingepland")</f>
        <v>Woensdag</v>
      </c>
    </row>
    <row r="7" customFormat="false" ht="15" hidden="false" customHeight="false" outlineLevel="0" collapsed="false">
      <c r="B7" s="29" t="n">
        <v>2</v>
      </c>
      <c r="C7" s="29" t="s">
        <v>113</v>
      </c>
      <c r="D7" s="32" t="s">
        <v>52</v>
      </c>
      <c r="E7" s="33" t="s">
        <v>30</v>
      </c>
      <c r="F7" s="29" t="n">
        <v>1</v>
      </c>
      <c r="G7" s="29"/>
      <c r="H7" s="34" t="s">
        <v>75</v>
      </c>
      <c r="I7" s="29" t="n">
        <v>19</v>
      </c>
      <c r="L7" s="29" t="n">
        <v>2</v>
      </c>
      <c r="M7" s="29" t="s">
        <v>113</v>
      </c>
      <c r="N7" s="32" t="s">
        <v>52</v>
      </c>
      <c r="O7" s="33" t="s">
        <v>30</v>
      </c>
      <c r="P7" s="29" t="str">
        <f aca="false">IFERROR(CHOOSE(COUNTIF('Door2Door| Paylogic'!$A$1:INDEX('Door2Door| Paylogic'!$A$1:$A$84,MATCH(M7,'Door2Door| Paylogic'!$C$1:$C$84,0)),"DAG *"),"Dinsdag","Woensdag","Donderdag"),"Niet ingepland")</f>
        <v>Woensdag</v>
      </c>
    </row>
    <row r="8" customFormat="false" ht="15" hidden="false" customHeight="false" outlineLevel="0" collapsed="false">
      <c r="B8" s="29" t="n">
        <v>3</v>
      </c>
      <c r="C8" s="29" t="s">
        <v>71</v>
      </c>
      <c r="D8" s="32" t="s">
        <v>52</v>
      </c>
      <c r="E8" s="33" t="s">
        <v>30</v>
      </c>
      <c r="F8" s="29" t="n">
        <v>1</v>
      </c>
      <c r="G8" s="29"/>
      <c r="H8" s="35" t="s">
        <v>57</v>
      </c>
      <c r="I8" s="29" t="n">
        <v>7</v>
      </c>
      <c r="L8" s="29" t="n">
        <v>3</v>
      </c>
      <c r="M8" s="29" t="s">
        <v>71</v>
      </c>
      <c r="N8" s="32" t="s">
        <v>52</v>
      </c>
      <c r="O8" s="33" t="s">
        <v>30</v>
      </c>
      <c r="P8" s="29" t="str">
        <f aca="false">IFERROR(CHOOSE(COUNTIF('Door2Door| Paylogic'!$A$1:INDEX('Door2Door| Paylogic'!$A$1:$A$84,MATCH(M8,'Door2Door| Paylogic'!$C$1:$C$84,0)),"DAG *"),"Dinsdag","Woensdag","Donderdag"),"Niet ingepland")</f>
        <v>Dinsdag</v>
      </c>
    </row>
    <row r="9" customFormat="false" ht="15" hidden="false" customHeight="false" outlineLevel="0" collapsed="false">
      <c r="B9" s="29" t="n">
        <v>4</v>
      </c>
      <c r="C9" s="29" t="s">
        <v>74</v>
      </c>
      <c r="D9" s="34" t="s">
        <v>75</v>
      </c>
      <c r="E9" s="33" t="s">
        <v>30</v>
      </c>
      <c r="F9" s="29" t="n">
        <v>1</v>
      </c>
      <c r="G9" s="29"/>
      <c r="H9" s="36" t="s">
        <v>82</v>
      </c>
      <c r="I9" s="29" t="n">
        <v>2</v>
      </c>
      <c r="L9" s="29" t="n">
        <v>4</v>
      </c>
      <c r="M9" s="29" t="s">
        <v>74</v>
      </c>
      <c r="N9" s="34" t="s">
        <v>75</v>
      </c>
      <c r="O9" s="33" t="s">
        <v>30</v>
      </c>
      <c r="P9" s="29" t="str">
        <f aca="false">IFERROR(CHOOSE(COUNTIF('Door2Door| Paylogic'!$A$1:INDEX('Door2Door| Paylogic'!$A$1:$A$84,MATCH(M9,'Door2Door| Paylogic'!$C$1:$C$84,0)),"DAG *"),"Dinsdag","Woensdag","Donderdag"),"Niet ingepland")</f>
        <v>Dinsdag</v>
      </c>
      <c r="R9" s="0" t="s">
        <v>204</v>
      </c>
    </row>
    <row r="10" customFormat="false" ht="15" hidden="false" customHeight="false" outlineLevel="0" collapsed="false">
      <c r="B10" s="29" t="n">
        <v>5</v>
      </c>
      <c r="C10" s="29" t="s">
        <v>68</v>
      </c>
      <c r="D10" s="35" t="s">
        <v>57</v>
      </c>
      <c r="E10" s="33" t="s">
        <v>30</v>
      </c>
      <c r="F10" s="29" t="n">
        <v>2</v>
      </c>
      <c r="G10" s="29"/>
      <c r="H10" s="37" t="s">
        <v>35</v>
      </c>
      <c r="I10" s="37" t="n">
        <v>43</v>
      </c>
      <c r="L10" s="29" t="n">
        <v>5</v>
      </c>
      <c r="M10" s="29" t="s">
        <v>68</v>
      </c>
      <c r="N10" s="35" t="s">
        <v>57</v>
      </c>
      <c r="O10" s="33" t="s">
        <v>30</v>
      </c>
      <c r="P10" s="29" t="str">
        <f aca="false">IFERROR(CHOOSE(COUNTIF('Door2Door| Paylogic'!$A$1:INDEX('Door2Door| Paylogic'!$A$1:$A$84,MATCH(M10,'Door2Door| Paylogic'!$C$1:$C$84,0)),"DAG *"),"Dinsdag","Woensdag","Donderdag"),"Niet ingepland")</f>
        <v>Dinsdag</v>
      </c>
    </row>
    <row r="11" customFormat="false" ht="15" hidden="false" customHeight="false" outlineLevel="0" collapsed="false">
      <c r="B11" s="29" t="n">
        <v>6</v>
      </c>
      <c r="C11" s="29" t="s">
        <v>66</v>
      </c>
      <c r="D11" s="35" t="s">
        <v>57</v>
      </c>
      <c r="E11" s="33" t="s">
        <v>30</v>
      </c>
      <c r="F11" s="29" t="n">
        <v>2</v>
      </c>
      <c r="G11" s="29"/>
      <c r="H11" s="29"/>
      <c r="I11" s="29"/>
      <c r="L11" s="29" t="n">
        <v>6</v>
      </c>
      <c r="M11" s="29" t="s">
        <v>66</v>
      </c>
      <c r="N11" s="35" t="s">
        <v>57</v>
      </c>
      <c r="O11" s="33" t="s">
        <v>30</v>
      </c>
      <c r="P11" s="29" t="str">
        <f aca="false">IFERROR(CHOOSE(COUNTIF('Door2Door| Paylogic'!$A$1:INDEX('Door2Door| Paylogic'!$A$1:$A$84,MATCH(M11,'Door2Door| Paylogic'!$C$1:$C$84,0)),"DAG *"),"Dinsdag","Woensdag","Donderdag"),"Niet ingepland")</f>
        <v>Dinsdag</v>
      </c>
    </row>
    <row r="12" customFormat="false" ht="15" hidden="false" customHeight="false" outlineLevel="0" collapsed="false">
      <c r="B12" s="29" t="n">
        <v>7</v>
      </c>
      <c r="C12" s="29" t="s">
        <v>63</v>
      </c>
      <c r="D12" s="32" t="s">
        <v>52</v>
      </c>
      <c r="E12" s="33" t="s">
        <v>30</v>
      </c>
      <c r="F12" s="29" t="n">
        <v>2</v>
      </c>
      <c r="G12" s="29"/>
      <c r="H12" s="29"/>
      <c r="I12" s="29"/>
      <c r="L12" s="29" t="n">
        <v>7</v>
      </c>
      <c r="M12" s="29" t="s">
        <v>63</v>
      </c>
      <c r="N12" s="32" t="s">
        <v>52</v>
      </c>
      <c r="O12" s="33" t="s">
        <v>30</v>
      </c>
      <c r="P12" s="29" t="str">
        <f aca="false">IFERROR(CHOOSE(COUNTIF('Door2Door| Paylogic'!$A$1:INDEX('Door2Door| Paylogic'!$A$1:$A$84,MATCH(M12,'Door2Door| Paylogic'!$C$1:$C$84,0)),"DAG *"),"Dinsdag","Woensdag","Donderdag"),"Niet ingepland")</f>
        <v>Dinsdag</v>
      </c>
    </row>
    <row r="13" customFormat="false" ht="15" hidden="false" customHeight="false" outlineLevel="0" collapsed="false">
      <c r="B13" s="29" t="n">
        <v>8</v>
      </c>
      <c r="C13" s="29" t="s">
        <v>141</v>
      </c>
      <c r="D13" s="32" t="s">
        <v>52</v>
      </c>
      <c r="E13" s="33" t="s">
        <v>30</v>
      </c>
      <c r="F13" s="29" t="n">
        <v>2</v>
      </c>
      <c r="G13" s="29"/>
      <c r="H13" s="29"/>
      <c r="I13" s="29"/>
      <c r="L13" s="29" t="n">
        <v>8</v>
      </c>
      <c r="M13" s="29" t="s">
        <v>141</v>
      </c>
      <c r="N13" s="32" t="s">
        <v>52</v>
      </c>
      <c r="O13" s="33" t="s">
        <v>30</v>
      </c>
      <c r="P13" s="29" t="str">
        <f aca="false">IFERROR(CHOOSE(COUNTIF('Door2Door| Paylogic'!$A$1:INDEX('Door2Door| Paylogic'!$A$1:$A$84,MATCH(M13,'Door2Door| Paylogic'!$C$1:$C$84,0)),"DAG *"),"Dinsdag","Woensdag","Donderdag"),"Niet ingepland")</f>
        <v>Donderdag</v>
      </c>
    </row>
    <row r="14" customFormat="false" ht="15" hidden="false" customHeight="false" outlineLevel="0" collapsed="false">
      <c r="B14" s="29" t="n">
        <v>9</v>
      </c>
      <c r="C14" s="29" t="s">
        <v>144</v>
      </c>
      <c r="D14" s="32" t="s">
        <v>52</v>
      </c>
      <c r="E14" s="33" t="s">
        <v>30</v>
      </c>
      <c r="F14" s="29" t="n">
        <v>2</v>
      </c>
      <c r="G14" s="29"/>
      <c r="H14" s="29"/>
      <c r="I14" s="29"/>
      <c r="L14" s="29" t="n">
        <v>9</v>
      </c>
      <c r="M14" s="29" t="s">
        <v>144</v>
      </c>
      <c r="N14" s="32" t="s">
        <v>52</v>
      </c>
      <c r="O14" s="33" t="s">
        <v>30</v>
      </c>
      <c r="P14" s="29" t="str">
        <f aca="false">IFERROR(CHOOSE(COUNTIF('Door2Door| Paylogic'!$A$1:INDEX('Door2Door| Paylogic'!$A$1:$A$84,MATCH(M14,'Door2Door| Paylogic'!$C$1:$C$84,0)),"DAG *"),"Dinsdag","Woensdag","Donderdag"),"Niet ingepland")</f>
        <v>Donderdag</v>
      </c>
    </row>
    <row r="15" customFormat="false" ht="15" hidden="false" customHeight="false" outlineLevel="0" collapsed="false">
      <c r="B15" s="29" t="n">
        <v>10</v>
      </c>
      <c r="C15" s="29" t="s">
        <v>147</v>
      </c>
      <c r="D15" s="32" t="s">
        <v>52</v>
      </c>
      <c r="E15" s="33" t="s">
        <v>30</v>
      </c>
      <c r="F15" s="29" t="n">
        <v>2</v>
      </c>
      <c r="G15" s="29"/>
      <c r="H15" s="29"/>
      <c r="I15" s="29"/>
      <c r="L15" s="29" t="n">
        <v>10</v>
      </c>
      <c r="M15" s="29" t="s">
        <v>147</v>
      </c>
      <c r="N15" s="32" t="s">
        <v>52</v>
      </c>
      <c r="O15" s="33" t="s">
        <v>30</v>
      </c>
      <c r="P15" s="29" t="str">
        <f aca="false">IFERROR(CHOOSE(COUNTIF('Door2Door| Paylogic'!$A$1:INDEX('Door2Door| Paylogic'!$A$1:$A$84,MATCH(M15,'Door2Door| Paylogic'!$C$1:$C$84,0)),"DAG *"),"Dinsdag","Woensdag","Donderdag"),"Niet ingepland")</f>
        <v>Donderdag</v>
      </c>
    </row>
    <row r="16" customFormat="false" ht="15" hidden="false" customHeight="false" outlineLevel="0" collapsed="false">
      <c r="B16" s="29" t="n">
        <v>11</v>
      </c>
      <c r="C16" s="29" t="s">
        <v>150</v>
      </c>
      <c r="D16" s="35" t="s">
        <v>57</v>
      </c>
      <c r="E16" s="33" t="s">
        <v>30</v>
      </c>
      <c r="F16" s="29" t="n">
        <v>3</v>
      </c>
      <c r="G16" s="29"/>
      <c r="H16" s="29"/>
      <c r="I16" s="29"/>
      <c r="L16" s="29" t="n">
        <v>11</v>
      </c>
      <c r="M16" s="29" t="s">
        <v>150</v>
      </c>
      <c r="N16" s="35" t="s">
        <v>57</v>
      </c>
      <c r="O16" s="33" t="s">
        <v>30</v>
      </c>
      <c r="P16" s="29" t="str">
        <f aca="false">IFERROR(CHOOSE(COUNTIF('Door2Door| Paylogic'!$A$1:INDEX('Door2Door| Paylogic'!$A$1:$A$84,MATCH(M16,'Door2Door| Paylogic'!$C$1:$C$84,0)),"DAG *"),"Dinsdag","Woensdag","Donderdag"),"Niet ingepland")</f>
        <v>Donderdag</v>
      </c>
    </row>
    <row r="17" customFormat="false" ht="15" hidden="false" customHeight="false" outlineLevel="0" collapsed="false">
      <c r="B17" s="29" t="n">
        <v>12</v>
      </c>
      <c r="C17" s="29" t="s">
        <v>61</v>
      </c>
      <c r="D17" s="32" t="s">
        <v>52</v>
      </c>
      <c r="E17" s="33" t="s">
        <v>30</v>
      </c>
      <c r="F17" s="29" t="n">
        <v>3</v>
      </c>
      <c r="G17" s="29"/>
      <c r="H17" s="29"/>
      <c r="I17" s="29"/>
      <c r="L17" s="29" t="n">
        <v>12</v>
      </c>
      <c r="M17" s="29" t="s">
        <v>61</v>
      </c>
      <c r="N17" s="32" t="s">
        <v>52</v>
      </c>
      <c r="O17" s="33" t="s">
        <v>30</v>
      </c>
      <c r="P17" s="29" t="str">
        <f aca="false">IFERROR(CHOOSE(COUNTIF('Door2Door| Paylogic'!$A$1:INDEX('Door2Door| Paylogic'!$A$1:$A$84,MATCH(M17,'Door2Door| Paylogic'!$C$1:$C$84,0)),"DAG *"),"Dinsdag","Woensdag","Donderdag"),"Niet ingepland")</f>
        <v>Dinsdag</v>
      </c>
    </row>
    <row r="18" customFormat="false" ht="15" hidden="false" customHeight="false" outlineLevel="0" collapsed="false">
      <c r="B18" s="29" t="n">
        <v>13</v>
      </c>
      <c r="C18" s="29" t="s">
        <v>56</v>
      </c>
      <c r="D18" s="35" t="s">
        <v>57</v>
      </c>
      <c r="E18" s="33" t="s">
        <v>30</v>
      </c>
      <c r="F18" s="29" t="n">
        <v>3</v>
      </c>
      <c r="G18" s="29"/>
      <c r="H18" s="29"/>
      <c r="I18" s="29"/>
      <c r="L18" s="29" t="n">
        <v>13</v>
      </c>
      <c r="M18" s="29" t="s">
        <v>56</v>
      </c>
      <c r="N18" s="35" t="s">
        <v>57</v>
      </c>
      <c r="O18" s="33" t="s">
        <v>30</v>
      </c>
      <c r="P18" s="29" t="str">
        <f aca="false">IFERROR(CHOOSE(COUNTIF('Door2Door| Paylogic'!$A$1:INDEX('Door2Door| Paylogic'!$A$1:$A$84,MATCH(M18,'Door2Door| Paylogic'!$C$1:$C$84,0)),"DAG *"),"Dinsdag","Woensdag","Donderdag"),"Niet ingepland")</f>
        <v>Dinsdag</v>
      </c>
    </row>
    <row r="19" customFormat="false" ht="15" hidden="false" customHeight="false" outlineLevel="0" collapsed="false">
      <c r="B19" s="29" t="n">
        <v>14</v>
      </c>
      <c r="C19" s="29" t="s">
        <v>51</v>
      </c>
      <c r="D19" s="32" t="s">
        <v>52</v>
      </c>
      <c r="E19" s="33" t="s">
        <v>30</v>
      </c>
      <c r="F19" s="29" t="n">
        <v>3</v>
      </c>
      <c r="G19" s="29"/>
      <c r="H19" s="29"/>
      <c r="I19" s="29"/>
      <c r="L19" s="29" t="n">
        <v>14</v>
      </c>
      <c r="M19" s="29" t="s">
        <v>51</v>
      </c>
      <c r="N19" s="32" t="s">
        <v>52</v>
      </c>
      <c r="O19" s="33" t="s">
        <v>30</v>
      </c>
      <c r="P19" s="29" t="str">
        <f aca="false">IFERROR(CHOOSE(COUNTIF('Door2Door| Paylogic'!$A$1:INDEX('Door2Door| Paylogic'!$A$1:$A$84,MATCH(M19,'Door2Door| Paylogic'!$C$1:$C$84,0)),"DAG *"),"Dinsdag","Woensdag","Donderdag"),"Niet ingepland")</f>
        <v>Dinsdag</v>
      </c>
    </row>
    <row r="20" customFormat="false" ht="15" hidden="false" customHeight="false" outlineLevel="0" collapsed="false">
      <c r="B20" s="29" t="n">
        <v>15</v>
      </c>
      <c r="C20" s="29" t="s">
        <v>118</v>
      </c>
      <c r="D20" s="32" t="s">
        <v>52</v>
      </c>
      <c r="E20" s="33" t="s">
        <v>30</v>
      </c>
      <c r="F20" s="29" t="n">
        <v>3</v>
      </c>
      <c r="G20" s="29"/>
      <c r="H20" s="29"/>
      <c r="I20" s="29"/>
      <c r="L20" s="29" t="n">
        <v>15</v>
      </c>
      <c r="M20" s="29" t="s">
        <v>118</v>
      </c>
      <c r="N20" s="32" t="s">
        <v>52</v>
      </c>
      <c r="O20" s="33" t="s">
        <v>30</v>
      </c>
      <c r="P20" s="29" t="str">
        <f aca="false">IFERROR(CHOOSE(COUNTIF('Door2Door| Paylogic'!$A$1:INDEX('Door2Door| Paylogic'!$A$1:$A$84,MATCH(M20,'Door2Door| Paylogic'!$C$1:$C$84,0)),"DAG *"),"Dinsdag","Woensdag","Donderdag"),"Niet ingepland")</f>
        <v>Woensdag</v>
      </c>
    </row>
    <row r="21" customFormat="false" ht="15" hidden="false" customHeight="false" outlineLevel="0" collapsed="false">
      <c r="B21" s="29" t="n">
        <v>16</v>
      </c>
      <c r="C21" s="29" t="s">
        <v>137</v>
      </c>
      <c r="D21" s="35" t="s">
        <v>57</v>
      </c>
      <c r="E21" s="38" t="s">
        <v>33</v>
      </c>
      <c r="F21" s="29" t="n">
        <v>1</v>
      </c>
      <c r="G21" s="29"/>
      <c r="H21" s="29"/>
      <c r="I21" s="29"/>
      <c r="L21" s="29" t="n">
        <v>16</v>
      </c>
      <c r="M21" s="39" t="s">
        <v>175</v>
      </c>
      <c r="N21" s="39" t="s">
        <v>52</v>
      </c>
      <c r="O21" s="33" t="s">
        <v>30</v>
      </c>
      <c r="P21" s="29" t="str">
        <f aca="false">IFERROR(CHOOSE(COUNTIF('Door2Door| Paylogic'!$A$1:INDEX('Door2Door| Paylogic'!$A$1:$A$84,MATCH(M21,'Door2Door| Paylogic'!$C$1:$C$84,0)),"DAG *"),"Dinsdag","Woensdag","Donderdag"),"Niet ingepland")</f>
        <v>Niet ingepland</v>
      </c>
    </row>
    <row r="22" customFormat="false" ht="15" hidden="false" customHeight="false" outlineLevel="0" collapsed="false">
      <c r="B22" s="29" t="n">
        <v>17</v>
      </c>
      <c r="C22" s="39" t="s">
        <v>175</v>
      </c>
      <c r="D22" s="39" t="s">
        <v>52</v>
      </c>
      <c r="E22" s="39" t="s">
        <v>33</v>
      </c>
      <c r="F22" s="29" t="n">
        <v>1</v>
      </c>
      <c r="G22" s="29"/>
      <c r="H22" s="29"/>
      <c r="I22" s="29"/>
      <c r="L22" s="29" t="n">
        <v>17</v>
      </c>
      <c r="M22" s="39" t="s">
        <v>173</v>
      </c>
      <c r="N22" s="39" t="s">
        <v>75</v>
      </c>
      <c r="O22" s="33" t="s">
        <v>30</v>
      </c>
      <c r="P22" s="29" t="str">
        <f aca="false">IFERROR(CHOOSE(COUNTIF('Door2Door| Paylogic'!$A$1:INDEX('Door2Door| Paylogic'!$A$1:$A$84,MATCH(M22,'Door2Door| Paylogic'!$C$1:$C$84,0)),"DAG *"),"Dinsdag","Woensdag","Donderdag"),"Niet ingepland")</f>
        <v>Niet ingepland</v>
      </c>
    </row>
    <row r="23" customFormat="false" ht="15" hidden="false" customHeight="false" outlineLevel="0" collapsed="false">
      <c r="B23" s="29" t="n">
        <v>18</v>
      </c>
      <c r="C23" s="29" t="s">
        <v>121</v>
      </c>
      <c r="D23" s="32" t="s">
        <v>52</v>
      </c>
      <c r="E23" s="38" t="s">
        <v>33</v>
      </c>
      <c r="F23" s="29" t="n">
        <v>1</v>
      </c>
      <c r="G23" s="29"/>
      <c r="H23" s="29"/>
      <c r="I23" s="29"/>
      <c r="L23" s="29" t="n">
        <v>18</v>
      </c>
      <c r="M23" s="40" t="s">
        <v>106</v>
      </c>
      <c r="N23" s="40" t="s">
        <v>52</v>
      </c>
      <c r="O23" s="33" t="s">
        <v>30</v>
      </c>
      <c r="P23" s="41" t="str">
        <f aca="false">IFERROR(CHOOSE(COUNTIF('Door2Door| Paylogic'!$A$1:INDEX('Door2Door| Paylogic'!$A$1:$A$84,MATCH(M23,'Door2Door| Paylogic'!$C$1:$C$84,0)),"DAG *"),"Dinsdag","Woensdag","Donderdag"),"Niet ingepland")</f>
        <v>Woensdag</v>
      </c>
    </row>
    <row r="24" customFormat="false" ht="15" hidden="false" customHeight="false" outlineLevel="0" collapsed="false">
      <c r="B24" s="29" t="n">
        <v>19</v>
      </c>
      <c r="C24" s="29" t="s">
        <v>125</v>
      </c>
      <c r="D24" s="34" t="s">
        <v>75</v>
      </c>
      <c r="E24" s="38" t="s">
        <v>33</v>
      </c>
      <c r="F24" s="29" t="n">
        <v>1</v>
      </c>
      <c r="G24" s="29"/>
      <c r="H24" s="29"/>
      <c r="I24" s="29"/>
      <c r="L24" s="29"/>
      <c r="M24" s="39" t="s">
        <v>109</v>
      </c>
      <c r="N24" s="39" t="s">
        <v>52</v>
      </c>
      <c r="O24" s="33" t="s">
        <v>30</v>
      </c>
      <c r="P24" s="29" t="str">
        <f aca="false">IFERROR(CHOOSE(COUNTIF('Door2Door| Paylogic'!$A$1:INDEX('Door2Door| Paylogic'!$A$1:$A$84,MATCH(M24,'Door2Door| Paylogic'!$C$1:$C$84,0)),"DAG *"),"Dinsdag","Woensdag","Donderdag"),"Niet ingepland")</f>
        <v>Woensdag</v>
      </c>
    </row>
    <row r="25" customFormat="false" ht="15" hidden="false" customHeight="false" outlineLevel="0" collapsed="false">
      <c r="B25" s="29" t="n">
        <v>20</v>
      </c>
      <c r="C25" s="29" t="s">
        <v>127</v>
      </c>
      <c r="D25" s="34" t="s">
        <v>75</v>
      </c>
      <c r="E25" s="38" t="s">
        <v>33</v>
      </c>
      <c r="F25" s="29" t="n">
        <v>1</v>
      </c>
      <c r="G25" s="29"/>
      <c r="H25" s="29"/>
      <c r="I25" s="29"/>
      <c r="L25" s="29"/>
      <c r="M25" s="39" t="s">
        <v>111</v>
      </c>
      <c r="N25" s="39" t="s">
        <v>52</v>
      </c>
      <c r="O25" s="33" t="s">
        <v>30</v>
      </c>
      <c r="P25" s="29" t="str">
        <f aca="false">IFERROR(CHOOSE(COUNTIF('Door2Door| Paylogic'!$A$1:INDEX('Door2Door| Paylogic'!$A$1:$A$84,MATCH(M25,'Door2Door| Paylogic'!$C$1:$C$84,0)),"DAG *"),"Dinsdag","Woensdag","Donderdag"),"Niet ingepland")</f>
        <v>Woensdag</v>
      </c>
    </row>
    <row r="26" customFormat="false" ht="15" hidden="false" customHeight="false" outlineLevel="0" collapsed="false">
      <c r="B26" s="29" t="n">
        <v>21</v>
      </c>
      <c r="C26" s="29" t="s">
        <v>129</v>
      </c>
      <c r="D26" s="34" t="s">
        <v>75</v>
      </c>
      <c r="E26" s="38" t="s">
        <v>33</v>
      </c>
      <c r="F26" s="29" t="n">
        <v>1</v>
      </c>
      <c r="G26" s="29"/>
      <c r="H26" s="29"/>
      <c r="I26" s="29"/>
      <c r="L26" s="29" t="n">
        <v>16</v>
      </c>
      <c r="M26" s="29" t="s">
        <v>137</v>
      </c>
      <c r="N26" s="35" t="s">
        <v>57</v>
      </c>
      <c r="O26" s="38" t="s">
        <v>33</v>
      </c>
      <c r="P26" s="29" t="str">
        <f aca="false">IFERROR(CHOOSE(COUNTIF('Door2Door| Paylogic'!$A$1:INDEX('Door2Door| Paylogic'!$A$1:$A$84,MATCH(M26,'Door2Door| Paylogic'!$C$1:$C$84,0)),"DAG *"),"Dinsdag","Woensdag","Donderdag"),"Niet ingepland")</f>
        <v>Woensdag</v>
      </c>
    </row>
    <row r="27" customFormat="false" ht="15" hidden="false" customHeight="false" outlineLevel="0" collapsed="false">
      <c r="B27" s="29" t="n">
        <v>22</v>
      </c>
      <c r="C27" s="29" t="s">
        <v>131</v>
      </c>
      <c r="D27" s="35" t="s">
        <v>57</v>
      </c>
      <c r="E27" s="38" t="s">
        <v>33</v>
      </c>
      <c r="F27" s="29" t="n">
        <v>1</v>
      </c>
      <c r="G27" s="29"/>
      <c r="H27" s="29"/>
      <c r="I27" s="29"/>
      <c r="L27" s="29" t="n">
        <v>18</v>
      </c>
      <c r="M27" s="29" t="s">
        <v>121</v>
      </c>
      <c r="N27" s="32" t="s">
        <v>52</v>
      </c>
      <c r="O27" s="38" t="s">
        <v>33</v>
      </c>
      <c r="P27" s="29" t="str">
        <f aca="false">IFERROR(CHOOSE(COUNTIF('Door2Door| Paylogic'!$A$1:INDEX('Door2Door| Paylogic'!$A$1:$A$84,MATCH(M27,'Door2Door| Paylogic'!$C$1:$C$84,0)),"DAG *"),"Dinsdag","Woensdag","Donderdag"),"Niet ingepland")</f>
        <v>Woensdag</v>
      </c>
    </row>
    <row r="28" customFormat="false" ht="15" hidden="false" customHeight="false" outlineLevel="0" collapsed="false">
      <c r="B28" s="29" t="n">
        <v>23</v>
      </c>
      <c r="C28" s="29" t="s">
        <v>134</v>
      </c>
      <c r="D28" s="34" t="s">
        <v>75</v>
      </c>
      <c r="E28" s="38" t="s">
        <v>33</v>
      </c>
      <c r="F28" s="29" t="n">
        <v>1</v>
      </c>
      <c r="G28" s="29"/>
      <c r="H28" s="29"/>
      <c r="I28" s="29"/>
      <c r="L28" s="29" t="n">
        <v>19</v>
      </c>
      <c r="M28" s="29" t="s">
        <v>125</v>
      </c>
      <c r="N28" s="34" t="s">
        <v>75</v>
      </c>
      <c r="O28" s="38" t="s">
        <v>33</v>
      </c>
      <c r="P28" s="29" t="str">
        <f aca="false">IFERROR(CHOOSE(COUNTIF('Door2Door| Paylogic'!$A$1:INDEX('Door2Door| Paylogic'!$A$1:$A$84,MATCH(M28,'Door2Door| Paylogic'!$C$1:$C$84,0)),"DAG *"),"Dinsdag","Woensdag","Donderdag"),"Niet ingepland")</f>
        <v>Woensdag</v>
      </c>
    </row>
    <row r="29" customFormat="false" ht="15" hidden="false" customHeight="false" outlineLevel="0" collapsed="false">
      <c r="B29" s="29" t="n">
        <v>24</v>
      </c>
      <c r="C29" s="29" t="s">
        <v>97</v>
      </c>
      <c r="D29" s="34" t="s">
        <v>75</v>
      </c>
      <c r="E29" s="38" t="s">
        <v>33</v>
      </c>
      <c r="F29" s="29" t="n">
        <v>2</v>
      </c>
      <c r="G29" s="29"/>
      <c r="H29" s="29"/>
      <c r="I29" s="29"/>
      <c r="L29" s="29" t="n">
        <v>20</v>
      </c>
      <c r="M29" s="29" t="s">
        <v>127</v>
      </c>
      <c r="N29" s="34" t="s">
        <v>75</v>
      </c>
      <c r="O29" s="38" t="s">
        <v>33</v>
      </c>
      <c r="P29" s="29" t="str">
        <f aca="false">IFERROR(CHOOSE(COUNTIF('Door2Door| Paylogic'!$A$1:INDEX('Door2Door| Paylogic'!$A$1:$A$84,MATCH(M29,'Door2Door| Paylogic'!$C$1:$C$84,0)),"DAG *"),"Dinsdag","Woensdag","Donderdag"),"Niet ingepland")</f>
        <v>Woensdag</v>
      </c>
    </row>
    <row r="30" customFormat="false" ht="15" hidden="false" customHeight="false" outlineLevel="0" collapsed="false">
      <c r="B30" s="29" t="n">
        <v>25</v>
      </c>
      <c r="C30" s="29" t="s">
        <v>99</v>
      </c>
      <c r="D30" s="34" t="s">
        <v>75</v>
      </c>
      <c r="E30" s="38" t="s">
        <v>33</v>
      </c>
      <c r="F30" s="29" t="n">
        <v>2</v>
      </c>
      <c r="G30" s="29"/>
      <c r="H30" s="29"/>
      <c r="I30" s="29"/>
      <c r="L30" s="29" t="n">
        <v>21</v>
      </c>
      <c r="M30" s="29" t="s">
        <v>129</v>
      </c>
      <c r="N30" s="34" t="s">
        <v>75</v>
      </c>
      <c r="O30" s="38" t="s">
        <v>33</v>
      </c>
      <c r="P30" s="29" t="str">
        <f aca="false">IFERROR(CHOOSE(COUNTIF('Door2Door| Paylogic'!$A$1:INDEX('Door2Door| Paylogic'!$A$1:$A$84,MATCH(M30,'Door2Door| Paylogic'!$C$1:$C$84,0)),"DAG *"),"Dinsdag","Woensdag","Donderdag"),"Niet ingepland")</f>
        <v>Woensdag</v>
      </c>
    </row>
    <row r="31" customFormat="false" ht="15" hidden="false" customHeight="false" outlineLevel="0" collapsed="false">
      <c r="B31" s="29" t="n">
        <v>26</v>
      </c>
      <c r="C31" s="29" t="s">
        <v>103</v>
      </c>
      <c r="D31" s="36" t="s">
        <v>82</v>
      </c>
      <c r="E31" s="38" t="s">
        <v>33</v>
      </c>
      <c r="F31" s="29" t="n">
        <v>2</v>
      </c>
      <c r="G31" s="29"/>
      <c r="H31" s="29"/>
      <c r="I31" s="29"/>
      <c r="L31" s="29" t="n">
        <v>22</v>
      </c>
      <c r="M31" s="29" t="s">
        <v>131</v>
      </c>
      <c r="N31" s="35" t="s">
        <v>57</v>
      </c>
      <c r="O31" s="38" t="s">
        <v>33</v>
      </c>
      <c r="P31" s="29" t="str">
        <f aca="false">IFERROR(CHOOSE(COUNTIF('Door2Door| Paylogic'!$A$1:INDEX('Door2Door| Paylogic'!$A$1:$A$84,MATCH(M31,'Door2Door| Paylogic'!$C$1:$C$84,0)),"DAG *"),"Dinsdag","Woensdag","Donderdag"),"Niet ingepland")</f>
        <v>Woensdag</v>
      </c>
      <c r="Q31" s="27" t="s">
        <v>205</v>
      </c>
    </row>
    <row r="32" customFormat="false" ht="15" hidden="false" customHeight="false" outlineLevel="0" collapsed="false">
      <c r="B32" s="29" t="n">
        <v>27</v>
      </c>
      <c r="C32" s="29" t="s">
        <v>101</v>
      </c>
      <c r="D32" s="34" t="s">
        <v>75</v>
      </c>
      <c r="E32" s="38" t="s">
        <v>33</v>
      </c>
      <c r="F32" s="29" t="n">
        <v>2</v>
      </c>
      <c r="G32" s="29"/>
      <c r="H32" s="29"/>
      <c r="I32" s="29"/>
      <c r="L32" s="29" t="n">
        <v>23</v>
      </c>
      <c r="M32" s="29" t="s">
        <v>134</v>
      </c>
      <c r="N32" s="34" t="s">
        <v>75</v>
      </c>
      <c r="O32" s="38" t="s">
        <v>33</v>
      </c>
      <c r="P32" s="29" t="str">
        <f aca="false">IFERROR(CHOOSE(COUNTIF('Door2Door| Paylogic'!$A$1:INDEX('Door2Door| Paylogic'!$A$1:$A$84,MATCH(M32,'Door2Door| Paylogic'!$C$1:$C$84,0)),"DAG *"),"Dinsdag","Woensdag","Donderdag"),"Niet ingepland")</f>
        <v>Woensdag</v>
      </c>
    </row>
    <row r="33" customFormat="false" ht="15" hidden="false" customHeight="false" outlineLevel="0" collapsed="false">
      <c r="B33" s="29" t="n">
        <v>28</v>
      </c>
      <c r="C33" s="29" t="s">
        <v>166</v>
      </c>
      <c r="D33" s="34" t="s">
        <v>75</v>
      </c>
      <c r="E33" s="38" t="s">
        <v>33</v>
      </c>
      <c r="F33" s="29" t="n">
        <v>2</v>
      </c>
      <c r="G33" s="29"/>
      <c r="H33" s="29"/>
      <c r="I33" s="29"/>
      <c r="L33" s="29" t="n">
        <v>24</v>
      </c>
      <c r="M33" s="29" t="s">
        <v>97</v>
      </c>
      <c r="N33" s="34" t="s">
        <v>75</v>
      </c>
      <c r="O33" s="38" t="s">
        <v>33</v>
      </c>
      <c r="P33" s="29" t="str">
        <f aca="false">IFERROR(CHOOSE(COUNTIF('Door2Door| Paylogic'!$A$1:INDEX('Door2Door| Paylogic'!$A$1:$A$84,MATCH(M33,'Door2Door| Paylogic'!$C$1:$C$84,0)),"DAG *"),"Dinsdag","Woensdag","Donderdag"),"Niet ingepland")</f>
        <v>Dinsdag</v>
      </c>
    </row>
    <row r="34" customFormat="false" ht="15" hidden="false" customHeight="false" outlineLevel="0" collapsed="false">
      <c r="B34" s="29" t="n">
        <v>29</v>
      </c>
      <c r="C34" s="39" t="s">
        <v>173</v>
      </c>
      <c r="D34" s="39" t="s">
        <v>75</v>
      </c>
      <c r="E34" s="39" t="s">
        <v>33</v>
      </c>
      <c r="F34" s="29" t="n">
        <v>2</v>
      </c>
      <c r="G34" s="29"/>
      <c r="H34" s="29"/>
      <c r="I34" s="29"/>
      <c r="L34" s="29" t="n">
        <v>25</v>
      </c>
      <c r="M34" s="29" t="s">
        <v>99</v>
      </c>
      <c r="N34" s="34" t="s">
        <v>75</v>
      </c>
      <c r="O34" s="38" t="s">
        <v>33</v>
      </c>
      <c r="P34" s="29" t="str">
        <f aca="false">IFERROR(CHOOSE(COUNTIF('Door2Door| Paylogic'!$A$1:INDEX('Door2Door| Paylogic'!$A$1:$A$84,MATCH(M34,'Door2Door| Paylogic'!$C$1:$C$84,0)),"DAG *"),"Dinsdag","Woensdag","Donderdag"),"Niet ingepland")</f>
        <v>Dinsdag</v>
      </c>
    </row>
    <row r="35" customFormat="false" ht="15" hidden="false" customHeight="false" outlineLevel="0" collapsed="false">
      <c r="B35" s="29" t="n">
        <v>30</v>
      </c>
      <c r="C35" s="29" t="s">
        <v>161</v>
      </c>
      <c r="D35" s="34" t="s">
        <v>75</v>
      </c>
      <c r="E35" s="38" t="s">
        <v>33</v>
      </c>
      <c r="F35" s="29" t="n">
        <v>2</v>
      </c>
      <c r="G35" s="29"/>
      <c r="H35" s="29"/>
      <c r="I35" s="29"/>
      <c r="L35" s="29" t="n">
        <v>26</v>
      </c>
      <c r="M35" s="29" t="s">
        <v>103</v>
      </c>
      <c r="N35" s="36" t="s">
        <v>82</v>
      </c>
      <c r="O35" s="38" t="s">
        <v>33</v>
      </c>
      <c r="P35" s="29" t="str">
        <f aca="false">IFERROR(CHOOSE(COUNTIF('Door2Door| Paylogic'!$A$1:INDEX('Door2Door| Paylogic'!$A$1:$A$84,MATCH(M35,'Door2Door| Paylogic'!$C$1:$C$84,0)),"DAG *"),"Dinsdag","Woensdag","Donderdag"),"Niet ingepland")</f>
        <v>Dinsdag</v>
      </c>
    </row>
    <row r="36" customFormat="false" ht="15" hidden="false" customHeight="false" outlineLevel="0" collapsed="false">
      <c r="B36" s="29" t="n">
        <v>31</v>
      </c>
      <c r="C36" s="29" t="s">
        <v>159</v>
      </c>
      <c r="D36" s="34" t="s">
        <v>75</v>
      </c>
      <c r="E36" s="38" t="s">
        <v>33</v>
      </c>
      <c r="F36" s="29" t="n">
        <v>2</v>
      </c>
      <c r="G36" s="29"/>
      <c r="H36" s="29"/>
      <c r="I36" s="29"/>
      <c r="L36" s="29" t="n">
        <v>27</v>
      </c>
      <c r="M36" s="29" t="s">
        <v>101</v>
      </c>
      <c r="N36" s="34" t="s">
        <v>75</v>
      </c>
      <c r="O36" s="38" t="s">
        <v>33</v>
      </c>
      <c r="P36" s="29" t="str">
        <f aca="false">IFERROR(CHOOSE(COUNTIF('Door2Door| Paylogic'!$A$1:INDEX('Door2Door| Paylogic'!$A$1:$A$84,MATCH(M36,'Door2Door| Paylogic'!$C$1:$C$84,0)),"DAG *"),"Dinsdag","Woensdag","Donderdag"),"Niet ingepland")</f>
        <v>Dinsdag</v>
      </c>
    </row>
    <row r="37" customFormat="false" ht="15" hidden="false" customHeight="false" outlineLevel="0" collapsed="false">
      <c r="B37" s="29" t="n">
        <v>32</v>
      </c>
      <c r="C37" s="29" t="s">
        <v>156</v>
      </c>
      <c r="D37" s="34" t="s">
        <v>75</v>
      </c>
      <c r="E37" s="38" t="s">
        <v>33</v>
      </c>
      <c r="F37" s="29" t="n">
        <v>2</v>
      </c>
      <c r="G37" s="29"/>
      <c r="H37" s="29"/>
      <c r="I37" s="29"/>
      <c r="L37" s="29" t="n">
        <v>28</v>
      </c>
      <c r="M37" s="29" t="s">
        <v>166</v>
      </c>
      <c r="N37" s="34" t="s">
        <v>75</v>
      </c>
      <c r="O37" s="38" t="s">
        <v>33</v>
      </c>
      <c r="P37" s="29" t="str">
        <f aca="false">IFERROR(CHOOSE(COUNTIF('Door2Door| Paylogic'!$A$1:INDEX('Door2Door| Paylogic'!$A$1:$A$84,MATCH(M37,'Door2Door| Paylogic'!$C$1:$C$84,0)),"DAG *"),"Dinsdag","Woensdag","Donderdag"),"Niet ingepland")</f>
        <v>Donderdag</v>
      </c>
    </row>
    <row r="38" customFormat="false" ht="15" hidden="false" customHeight="false" outlineLevel="0" collapsed="false">
      <c r="B38" s="29" t="n">
        <v>33</v>
      </c>
      <c r="C38" s="29" t="s">
        <v>153</v>
      </c>
      <c r="D38" s="34" t="s">
        <v>75</v>
      </c>
      <c r="E38" s="38" t="s">
        <v>33</v>
      </c>
      <c r="F38" s="29" t="n">
        <v>2</v>
      </c>
      <c r="G38" s="29"/>
      <c r="H38" s="29"/>
      <c r="I38" s="29"/>
      <c r="L38" s="29" t="n">
        <v>30</v>
      </c>
      <c r="M38" s="29" t="s">
        <v>161</v>
      </c>
      <c r="N38" s="34" t="s">
        <v>75</v>
      </c>
      <c r="O38" s="38" t="s">
        <v>33</v>
      </c>
      <c r="P38" s="29" t="str">
        <f aca="false">IFERROR(CHOOSE(COUNTIF('Door2Door| Paylogic'!$A$1:INDEX('Door2Door| Paylogic'!$A$1:$A$84,MATCH(M38,'Door2Door| Paylogic'!$C$1:$C$84,0)),"DAG *"),"Dinsdag","Woensdag","Donderdag"),"Niet ingepland")</f>
        <v>Donderdag</v>
      </c>
    </row>
    <row r="39" customFormat="false" ht="15" hidden="false" customHeight="false" outlineLevel="0" collapsed="false">
      <c r="B39" s="29" t="n">
        <v>34</v>
      </c>
      <c r="C39" s="29" t="s">
        <v>91</v>
      </c>
      <c r="D39" s="34" t="s">
        <v>75</v>
      </c>
      <c r="E39" s="38" t="s">
        <v>33</v>
      </c>
      <c r="F39" s="29" t="n">
        <v>3</v>
      </c>
      <c r="G39" s="29"/>
      <c r="H39" s="29"/>
      <c r="I39" s="29"/>
      <c r="L39" s="29" t="n">
        <v>31</v>
      </c>
      <c r="M39" s="29" t="s">
        <v>159</v>
      </c>
      <c r="N39" s="34" t="s">
        <v>75</v>
      </c>
      <c r="O39" s="38" t="s">
        <v>33</v>
      </c>
      <c r="P39" s="29" t="str">
        <f aca="false">IFERROR(CHOOSE(COUNTIF('Door2Door| Paylogic'!$A$1:INDEX('Door2Door| Paylogic'!$A$1:$A$84,MATCH(M39,'Door2Door| Paylogic'!$C$1:$C$84,0)),"DAG *"),"Dinsdag","Woensdag","Donderdag"),"Niet ingepland")</f>
        <v>Donderdag</v>
      </c>
    </row>
    <row r="40" customFormat="false" ht="15" hidden="false" customHeight="false" outlineLevel="0" collapsed="false">
      <c r="B40" s="42" t="n">
        <v>35</v>
      </c>
      <c r="C40" s="40" t="s">
        <v>106</v>
      </c>
      <c r="D40" s="40" t="s">
        <v>52</v>
      </c>
      <c r="E40" s="40" t="s">
        <v>33</v>
      </c>
      <c r="F40" s="41" t="n">
        <v>3</v>
      </c>
      <c r="G40" s="29"/>
      <c r="H40" s="29"/>
      <c r="I40" s="29"/>
      <c r="L40" s="29" t="n">
        <v>32</v>
      </c>
      <c r="M40" s="29" t="s">
        <v>156</v>
      </c>
      <c r="N40" s="34" t="s">
        <v>75</v>
      </c>
      <c r="O40" s="38" t="s">
        <v>33</v>
      </c>
      <c r="P40" s="29" t="str">
        <f aca="false">IFERROR(CHOOSE(COUNTIF('Door2Door| Paylogic'!$A$1:INDEX('Door2Door| Paylogic'!$A$1:$A$84,MATCH(M40,'Door2Door| Paylogic'!$C$1:$C$84,0)),"DAG *"),"Dinsdag","Woensdag","Donderdag"),"Niet ingepland")</f>
        <v>Donderdag</v>
      </c>
    </row>
    <row r="41" customFormat="false" ht="15" hidden="false" customHeight="false" outlineLevel="0" collapsed="false">
      <c r="B41" s="29" t="n">
        <v>36</v>
      </c>
      <c r="C41" s="29" t="s">
        <v>87</v>
      </c>
      <c r="D41" s="34" t="s">
        <v>75</v>
      </c>
      <c r="E41" s="38" t="s">
        <v>33</v>
      </c>
      <c r="F41" s="29" t="n">
        <v>3</v>
      </c>
      <c r="G41" s="29"/>
      <c r="H41" s="29"/>
      <c r="I41" s="29"/>
      <c r="L41" s="29" t="n">
        <v>33</v>
      </c>
      <c r="M41" s="29" t="s">
        <v>153</v>
      </c>
      <c r="N41" s="34" t="s">
        <v>75</v>
      </c>
      <c r="O41" s="38" t="s">
        <v>33</v>
      </c>
      <c r="P41" s="29" t="str">
        <f aca="false">IFERROR(CHOOSE(COUNTIF('Door2Door| Paylogic'!$A$1:INDEX('Door2Door| Paylogic'!$A$1:$A$84,MATCH(M41,'Door2Door| Paylogic'!$C$1:$C$84,0)),"DAG *"),"Dinsdag","Woensdag","Donderdag"),"Niet ingepland")</f>
        <v>Donderdag</v>
      </c>
    </row>
    <row r="42" customFormat="false" ht="15" hidden="false" customHeight="false" outlineLevel="0" collapsed="false">
      <c r="B42" s="29" t="n">
        <v>37</v>
      </c>
      <c r="C42" s="29" t="s">
        <v>89</v>
      </c>
      <c r="D42" s="34" t="s">
        <v>75</v>
      </c>
      <c r="E42" s="38" t="s">
        <v>33</v>
      </c>
      <c r="F42" s="29" t="n">
        <v>3</v>
      </c>
      <c r="G42" s="29"/>
      <c r="H42" s="29"/>
      <c r="I42" s="29"/>
      <c r="L42" s="29" t="n">
        <v>34</v>
      </c>
      <c r="M42" s="29" t="s">
        <v>91</v>
      </c>
      <c r="N42" s="34" t="s">
        <v>75</v>
      </c>
      <c r="O42" s="38" t="s">
        <v>33</v>
      </c>
      <c r="P42" s="29" t="str">
        <f aca="false">IFERROR(CHOOSE(COUNTIF('Door2Door| Paylogic'!$A$1:INDEX('Door2Door| Paylogic'!$A$1:$A$84,MATCH(M42,'Door2Door| Paylogic'!$C$1:$C$84,0)),"DAG *"),"Dinsdag","Woensdag","Donderdag"),"Niet ingepland")</f>
        <v>Dinsdag</v>
      </c>
    </row>
    <row r="43" customFormat="false" ht="15" hidden="false" customHeight="false" outlineLevel="0" collapsed="false">
      <c r="B43" s="29" t="n">
        <v>38</v>
      </c>
      <c r="C43" s="39" t="s">
        <v>109</v>
      </c>
      <c r="D43" s="39" t="s">
        <v>52</v>
      </c>
      <c r="E43" s="39" t="s">
        <v>33</v>
      </c>
      <c r="F43" s="29" t="n">
        <v>3</v>
      </c>
      <c r="G43" s="29"/>
      <c r="H43" s="29"/>
      <c r="I43" s="29"/>
      <c r="L43" s="29" t="n">
        <v>36</v>
      </c>
      <c r="M43" s="29" t="s">
        <v>87</v>
      </c>
      <c r="N43" s="34" t="s">
        <v>75</v>
      </c>
      <c r="O43" s="38" t="s">
        <v>33</v>
      </c>
      <c r="P43" s="29" t="str">
        <f aca="false">IFERROR(CHOOSE(COUNTIF('Door2Door| Paylogic'!$A$1:INDEX('Door2Door| Paylogic'!$A$1:$A$84,MATCH(M43,'Door2Door| Paylogic'!$C$1:$C$84,0)),"DAG *"),"Dinsdag","Woensdag","Donderdag"),"Niet ingepland")</f>
        <v>Dinsdag</v>
      </c>
    </row>
    <row r="44" customFormat="false" ht="15" hidden="false" customHeight="false" outlineLevel="0" collapsed="false">
      <c r="B44" s="29" t="n">
        <v>39</v>
      </c>
      <c r="C44" s="39" t="s">
        <v>111</v>
      </c>
      <c r="D44" s="39" t="s">
        <v>52</v>
      </c>
      <c r="E44" s="39" t="s">
        <v>33</v>
      </c>
      <c r="F44" s="29" t="n">
        <v>3</v>
      </c>
      <c r="G44" s="29"/>
      <c r="H44" s="29"/>
      <c r="I44" s="29"/>
      <c r="L44" s="29" t="n">
        <v>37</v>
      </c>
      <c r="M44" s="29" t="s">
        <v>89</v>
      </c>
      <c r="N44" s="34" t="s">
        <v>75</v>
      </c>
      <c r="O44" s="38" t="s">
        <v>33</v>
      </c>
      <c r="P44" s="29" t="str">
        <f aca="false">IFERROR(CHOOSE(COUNTIF('Door2Door| Paylogic'!$A$1:INDEX('Door2Door| Paylogic'!$A$1:$A$84,MATCH(M44,'Door2Door| Paylogic'!$C$1:$C$84,0)),"DAG *"),"Dinsdag","Woensdag","Donderdag"),"Niet ingepland")</f>
        <v>Dinsdag</v>
      </c>
    </row>
    <row r="45" customFormat="false" ht="15" hidden="false" customHeight="false" outlineLevel="0" collapsed="false">
      <c r="B45" s="29" t="n">
        <v>40</v>
      </c>
      <c r="C45" s="29" t="s">
        <v>85</v>
      </c>
      <c r="D45" s="34" t="s">
        <v>75</v>
      </c>
      <c r="E45" s="38" t="s">
        <v>33</v>
      </c>
      <c r="F45" s="29" t="n">
        <v>3</v>
      </c>
      <c r="G45" s="29"/>
      <c r="H45" s="29"/>
      <c r="I45" s="29"/>
      <c r="L45" s="29" t="n">
        <v>40</v>
      </c>
      <c r="M45" s="29" t="s">
        <v>85</v>
      </c>
      <c r="N45" s="34" t="s">
        <v>75</v>
      </c>
      <c r="O45" s="38" t="s">
        <v>33</v>
      </c>
      <c r="P45" s="29" t="str">
        <f aca="false">IFERROR(CHOOSE(COUNTIF('Door2Door| Paylogic'!$A$1:INDEX('Door2Door| Paylogic'!$A$1:$A$84,MATCH(M45,'Door2Door| Paylogic'!$C$1:$C$84,0)),"DAG *"),"Dinsdag","Woensdag","Donderdag"),"Niet ingepland")</f>
        <v>Dinsdag</v>
      </c>
    </row>
    <row r="46" customFormat="false" ht="15" hidden="false" customHeight="false" outlineLevel="0" collapsed="false">
      <c r="B46" s="29" t="n">
        <v>41</v>
      </c>
      <c r="C46" s="29" t="s">
        <v>81</v>
      </c>
      <c r="D46" s="36" t="s">
        <v>82</v>
      </c>
      <c r="E46" s="38" t="s">
        <v>33</v>
      </c>
      <c r="F46" s="29" t="n">
        <v>3</v>
      </c>
      <c r="G46" s="29"/>
      <c r="H46" s="29"/>
      <c r="I46" s="29"/>
      <c r="L46" s="29" t="n">
        <v>41</v>
      </c>
      <c r="M46" s="29" t="s">
        <v>81</v>
      </c>
      <c r="N46" s="36" t="s">
        <v>82</v>
      </c>
      <c r="O46" s="38" t="s">
        <v>33</v>
      </c>
      <c r="P46" s="29" t="str">
        <f aca="false">IFERROR(CHOOSE(COUNTIF('Door2Door| Paylogic'!$A$1:INDEX('Door2Door| Paylogic'!$A$1:$A$84,MATCH(M46,'Door2Door| Paylogic'!$C$1:$C$84,0)),"DAG *"),"Dinsdag","Woensdag","Donderdag"),"Niet ingepland")</f>
        <v>Dinsdag</v>
      </c>
    </row>
    <row r="47" customFormat="false" ht="15" hidden="false" customHeight="false" outlineLevel="0" collapsed="false">
      <c r="B47" s="29" t="n">
        <v>42</v>
      </c>
      <c r="C47" s="29" t="s">
        <v>163</v>
      </c>
      <c r="D47" s="34" t="s">
        <v>75</v>
      </c>
      <c r="E47" s="38" t="s">
        <v>33</v>
      </c>
      <c r="F47" s="29" t="n">
        <v>3</v>
      </c>
      <c r="G47" s="29"/>
      <c r="H47" s="29"/>
      <c r="I47" s="29"/>
      <c r="L47" s="29" t="n">
        <v>42</v>
      </c>
      <c r="M47" s="29" t="s">
        <v>163</v>
      </c>
      <c r="N47" s="34" t="s">
        <v>75</v>
      </c>
      <c r="O47" s="38" t="s">
        <v>33</v>
      </c>
      <c r="P47" s="29" t="str">
        <f aca="false">IFERROR(CHOOSE(COUNTIF('Door2Door| Paylogic'!$A$1:INDEX('Door2Door| Paylogic'!$A$1:$A$84,MATCH(M47,'Door2Door| Paylogic'!$C$1:$C$84,0)),"DAG *"),"Dinsdag","Woensdag","Donderdag"),"Niet ingepland")</f>
        <v>Donderdag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2026-10-08T13:28:15Z</dcterms:created>
  <dc:creator>openpyxl</dc:creator>
  <dc:description/>
  <dc:language>en-US</dc:language>
  <cp:lastModifiedBy>Beentjes, Thierry</cp:lastModifiedBy>
  <dcterms:modified xsi:type="dcterms:W3CDTF">2026-10-12T15:17:28Z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